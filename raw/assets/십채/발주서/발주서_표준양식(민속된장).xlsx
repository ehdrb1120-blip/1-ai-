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십채\발주서\"/>
    </mc:Choice>
  </mc:AlternateContent>
  <xr:revisionPtr revIDLastSave="0" documentId="8_{85AF7747-1154-4611-9125-056F1955C6B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250922" sheetId="1" r:id="rId1"/>
    <sheet name="250926" sheetId="2" r:id="rId2"/>
    <sheet name="250928" sheetId="3" r:id="rId3"/>
    <sheet name="251012" sheetId="4" r:id="rId4"/>
    <sheet name="251016" sheetId="5" r:id="rId5"/>
  </sheets>
  <definedNames>
    <definedName name="_xlnm.Print_Area" localSheetId="0">'250922'!$A$1:$F$28</definedName>
    <definedName name="_xlnm.Print_Area" localSheetId="1">'250926'!$A$1:$F$28</definedName>
    <definedName name="_xlnm.Print_Area" localSheetId="2">'250928'!$A$1:$F$28</definedName>
    <definedName name="_xlnm.Print_Area" localSheetId="3">'251012'!$A$1:$F$30</definedName>
    <definedName name="_xlnm.Print_Area" localSheetId="4">'251016'!$A$1:$F$30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5" l="1"/>
  <c r="I23" i="5" s="1"/>
  <c r="B23" i="5"/>
  <c r="I22" i="5"/>
  <c r="I21" i="5"/>
  <c r="I20" i="5"/>
  <c r="I19" i="5"/>
  <c r="I18" i="5"/>
  <c r="I17" i="5"/>
  <c r="I16" i="5"/>
  <c r="I15" i="5"/>
  <c r="I14" i="5"/>
  <c r="I13" i="5"/>
  <c r="I12" i="5"/>
  <c r="I11" i="5"/>
  <c r="I18" i="4"/>
  <c r="I19" i="4"/>
  <c r="I20" i="4"/>
  <c r="I21" i="4"/>
  <c r="I22" i="4"/>
  <c r="I12" i="4"/>
  <c r="I13" i="4"/>
  <c r="I14" i="4"/>
  <c r="I15" i="4"/>
  <c r="I16" i="4"/>
  <c r="I17" i="4"/>
  <c r="I11" i="4"/>
  <c r="C23" i="4"/>
  <c r="I23" i="4" s="1"/>
  <c r="B23" i="4"/>
  <c r="C21" i="3"/>
  <c r="B21" i="3"/>
  <c r="C21" i="2"/>
  <c r="B21" i="2"/>
  <c r="B21" i="1"/>
  <c r="C21" i="1"/>
</calcChain>
</file>

<file path=xl/sharedStrings.xml><?xml version="1.0" encoding="utf-8"?>
<sst xmlns="http://schemas.openxmlformats.org/spreadsheetml/2006/main" count="208" uniqueCount="87">
  <si>
    <t>발 주 서</t>
  </si>
  <si>
    <t>아래와 같이 발주하오니 납품하여 주시기 바랍니다.</t>
  </si>
  <si>
    <t>품명</t>
  </si>
  <si>
    <t>합계</t>
  </si>
  <si>
    <t>상기와 같이 발주서를 보내오니 납품해 주시기 바랍니다.</t>
  </si>
  <si>
    <t>수신 : 민속된장</t>
    <phoneticPr fontId="2" type="noConversion"/>
  </si>
  <si>
    <t>TEL : 010-2799-6145</t>
    <phoneticPr fontId="2" type="noConversion"/>
  </si>
  <si>
    <t xml:space="preserve">TEL : </t>
    <phoneticPr fontId="2" type="noConversion"/>
  </si>
  <si>
    <t>수량</t>
    <phoneticPr fontId="2" type="noConversion"/>
  </si>
  <si>
    <t>주문자명</t>
    <phoneticPr fontId="2" type="noConversion"/>
  </si>
  <si>
    <t>주소지</t>
    <phoneticPr fontId="2" type="noConversion"/>
  </si>
  <si>
    <t>김미희</t>
    <phoneticPr fontId="2" type="noConversion"/>
  </si>
  <si>
    <t>강원도 평창군 용평면 금당계곡로 1981 단독주택</t>
    <phoneticPr fontId="2" type="noConversion"/>
  </si>
  <si>
    <t>주문자연락처</t>
    <phoneticPr fontId="2" type="noConversion"/>
  </si>
  <si>
    <t>010-3179-7611</t>
    <phoneticPr fontId="2" type="noConversion"/>
  </si>
  <si>
    <t>010-9412-8179</t>
    <phoneticPr fontId="2" type="noConversion"/>
  </si>
  <si>
    <t>대구 달서구 죽전길 78 삼성아파트 509호</t>
    <phoneticPr fontId="2" type="noConversion"/>
  </si>
  <si>
    <t>박해순</t>
    <phoneticPr fontId="2" type="noConversion"/>
  </si>
  <si>
    <t>발주일 : 2025년  09월  22일</t>
    <phoneticPr fontId="2" type="noConversion"/>
  </si>
  <si>
    <t xml:space="preserve">발주자 : 셀럽맘컴퍼니    (인)        </t>
    <phoneticPr fontId="2" type="noConversion"/>
  </si>
  <si>
    <t>주소 : -</t>
    <phoneticPr fontId="2" type="noConversion"/>
  </si>
  <si>
    <t>금액(원)</t>
    <phoneticPr fontId="2" type="noConversion"/>
  </si>
  <si>
    <t xml:space="preserve"> -</t>
    <phoneticPr fontId="2" type="noConversion"/>
  </si>
  <si>
    <t>사업자등록번호 :</t>
    <phoneticPr fontId="2" type="noConversion"/>
  </si>
  <si>
    <t>대표자 :</t>
    <phoneticPr fontId="2" type="noConversion"/>
  </si>
  <si>
    <t xml:space="preserve">발신 : </t>
    <phoneticPr fontId="2" type="noConversion"/>
  </si>
  <si>
    <t xml:space="preserve"> 셀럽맘컴퍼니</t>
    <phoneticPr fontId="2" type="noConversion"/>
  </si>
  <si>
    <t xml:space="preserve"> 213-67-00458</t>
    <phoneticPr fontId="2" type="noConversion"/>
  </si>
  <si>
    <t xml:space="preserve"> 김동규</t>
    <phoneticPr fontId="2" type="noConversion"/>
  </si>
  <si>
    <t xml:space="preserve"> 010-6522-8179</t>
    <phoneticPr fontId="2" type="noConversion"/>
  </si>
  <si>
    <r>
      <t xml:space="preserve">집된장, 강원도촌막장, 찌개고추장 세트 </t>
    </r>
    <r>
      <rPr>
        <b/>
        <sz val="11"/>
        <color theme="1"/>
        <rFont val="맑은 고딕"/>
        <family val="3"/>
        <charset val="129"/>
        <scheme val="minor"/>
      </rPr>
      <t>1.5kg X 3개</t>
    </r>
    <phoneticPr fontId="2" type="noConversion"/>
  </si>
  <si>
    <t>발주일 : 2025년  09월  26일</t>
    <phoneticPr fontId="2" type="noConversion"/>
  </si>
  <si>
    <t>경북 안동시 거북골길 25 신촌닭백숙</t>
    <phoneticPr fontId="2" type="noConversion"/>
  </si>
  <si>
    <t>010-7355-5321</t>
    <phoneticPr fontId="2" type="noConversion"/>
  </si>
  <si>
    <t>권태숙</t>
    <phoneticPr fontId="2" type="noConversion"/>
  </si>
  <si>
    <t>발주일 : 2025년  09월  28일</t>
    <phoneticPr fontId="2" type="noConversion"/>
  </si>
  <si>
    <t>이정순</t>
    <phoneticPr fontId="2" type="noConversion"/>
  </si>
  <si>
    <t>경북 구미시 검성로 54-11  2층 게르마늄 체험관</t>
    <phoneticPr fontId="2" type="noConversion"/>
  </si>
  <si>
    <t>010-8578-5063</t>
    <phoneticPr fontId="2" type="noConversion"/>
  </si>
  <si>
    <t>한옥현</t>
    <phoneticPr fontId="2" type="noConversion"/>
  </si>
  <si>
    <t>010-9644-8487</t>
    <phoneticPr fontId="2" type="noConversion"/>
  </si>
  <si>
    <t>전남 광양시 광양읍 용강로118 덕진 광양의봄선샤인 104동1401호</t>
    <phoneticPr fontId="2" type="noConversion"/>
  </si>
  <si>
    <t xml:space="preserve">한서정 </t>
    <phoneticPr fontId="2" type="noConversion"/>
  </si>
  <si>
    <t>010-2368-9257</t>
    <phoneticPr fontId="2" type="noConversion"/>
  </si>
  <si>
    <t>강원도 정선군 정선읍 비봉로51 깍고뽁고미용실</t>
    <phoneticPr fontId="2" type="noConversion"/>
  </si>
  <si>
    <t>서난주</t>
    <phoneticPr fontId="2" type="noConversion"/>
  </si>
  <si>
    <t>010-2527-4491</t>
    <phoneticPr fontId="2" type="noConversion"/>
  </si>
  <si>
    <t>대구시 달구벌대로511길 34-16</t>
    <phoneticPr fontId="2" type="noConversion"/>
  </si>
  <si>
    <t>서계성</t>
    <phoneticPr fontId="2" type="noConversion"/>
  </si>
  <si>
    <t>010-8984-5715</t>
    <phoneticPr fontId="2" type="noConversion"/>
  </si>
  <si>
    <t>서울 성북로 10가길 39  2층</t>
    <phoneticPr fontId="2" type="noConversion"/>
  </si>
  <si>
    <t>발주일 : 2025년  10월  12일</t>
    <phoneticPr fontId="2" type="noConversion"/>
  </si>
  <si>
    <t>세트1</t>
    <phoneticPr fontId="2" type="noConversion"/>
  </si>
  <si>
    <t>집된장2, 촌막장1</t>
    <phoneticPr fontId="2" type="noConversion"/>
  </si>
  <si>
    <t>세트2</t>
    <phoneticPr fontId="2" type="noConversion"/>
  </si>
  <si>
    <t>집된장1, 촌막장1, 찌개고추장1</t>
    <phoneticPr fontId="2" type="noConversion"/>
  </si>
  <si>
    <t>세트3</t>
    <phoneticPr fontId="2" type="noConversion"/>
  </si>
  <si>
    <t>집된장3</t>
    <phoneticPr fontId="2" type="noConversion"/>
  </si>
  <si>
    <t>집된장 1.5kg X 3개</t>
    <phoneticPr fontId="2" type="noConversion"/>
  </si>
  <si>
    <t>이영애</t>
    <phoneticPr fontId="2" type="noConversion"/>
  </si>
  <si>
    <t>010-9038-0175</t>
    <phoneticPr fontId="2" type="noConversion"/>
  </si>
  <si>
    <t>인천 부평구 부영로 196  대림6동 407호</t>
    <phoneticPr fontId="2" type="noConversion"/>
  </si>
  <si>
    <t>집된장 1.5kg X 2개, 촌막장 1.5kg X 1개</t>
    <phoneticPr fontId="2" type="noConversion"/>
  </si>
  <si>
    <t>임현옥</t>
    <phoneticPr fontId="2" type="noConversion"/>
  </si>
  <si>
    <t>010-9346-2934</t>
    <phoneticPr fontId="2" type="noConversion"/>
  </si>
  <si>
    <t>경기도 파주시 교하로50  202동602호</t>
    <phoneticPr fontId="2" type="noConversion"/>
  </si>
  <si>
    <t xml:space="preserve">김상희 </t>
    <phoneticPr fontId="2" type="noConversion"/>
  </si>
  <si>
    <t>010-9528-3533</t>
    <phoneticPr fontId="2" type="noConversion"/>
  </si>
  <si>
    <t xml:space="preserve">울산 북구 천곡남로37  삼성코아루 107동 1001호 </t>
    <phoneticPr fontId="2" type="noConversion"/>
  </si>
  <si>
    <t xml:space="preserve">김성자 </t>
    <phoneticPr fontId="2" type="noConversion"/>
  </si>
  <si>
    <t>010-9579-5860</t>
    <phoneticPr fontId="2" type="noConversion"/>
  </si>
  <si>
    <t>부산시 기장군 기장읍 동부산관광1로 라우어시니어타운 A810</t>
    <phoneticPr fontId="2" type="noConversion"/>
  </si>
  <si>
    <t>김상미</t>
    <phoneticPr fontId="2" type="noConversion"/>
  </si>
  <si>
    <t>010-9072-3390</t>
    <phoneticPr fontId="2" type="noConversion"/>
  </si>
  <si>
    <t>서울시 마포구 모래내로 3길4  성산동성아파트 101동 408호</t>
    <phoneticPr fontId="2" type="noConversion"/>
  </si>
  <si>
    <t>고은경</t>
    <phoneticPr fontId="2" type="noConversion"/>
  </si>
  <si>
    <t>010-6229-2697</t>
    <phoneticPr fontId="2" type="noConversion"/>
  </si>
  <si>
    <t>서울시 강북구 수유로 21길3-9  지하 01호</t>
    <phoneticPr fontId="2" type="noConversion"/>
  </si>
  <si>
    <t>강원특별자치도 강릉시 운정길17 1층 카페 파나마</t>
    <phoneticPr fontId="2" type="noConversion"/>
  </si>
  <si>
    <t>정영희</t>
    <phoneticPr fontId="2" type="noConversion"/>
  </si>
  <si>
    <t>010-7292-7973</t>
    <phoneticPr fontId="2" type="noConversion"/>
  </si>
  <si>
    <t>집된장, 강원도촌막장, 찌개고추장 세트 1.5kg X 3개</t>
    <phoneticPr fontId="2" type="noConversion"/>
  </si>
  <si>
    <t>발주일 : 2025년  10월  16일</t>
    <phoneticPr fontId="2" type="noConversion"/>
  </si>
  <si>
    <t>집된장 1.5kg X 1개, 촌막장 1.5kg X 1개, 찌개고추장 1.5kg X 1개</t>
    <phoneticPr fontId="2" type="noConversion"/>
  </si>
  <si>
    <t>서울 강남구 개포로 310, 146동 2101호(디에이치퍼스티어아이파크)</t>
    <phoneticPr fontId="2" type="noConversion"/>
  </si>
  <si>
    <t>010-5477-7957</t>
    <phoneticPr fontId="2" type="noConversion"/>
  </si>
  <si>
    <t>전명순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</si>
</sst>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22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3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41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41" fontId="0" fillId="2" borderId="1" xfId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41" fontId="0" fillId="2" borderId="11" xfId="1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1" fontId="0" fillId="0" borderId="1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3" fillId="0" borderId="5" xfId="0" applyFont="1" applyBorder="1" applyAlignment="1">
      <alignment horizontal="center" vertical="center"/>
    </xf>
    <xf numFmtId="41" fontId="0" fillId="0" borderId="0" xfId="0" applyNumberForma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0" xfId="0"/>
    <xf numFmtId="0" fontId="3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2493645</xdr:colOff>
      <xdr:row>24</xdr:row>
      <xdr:rowOff>57150</xdr:rowOff>
    </xdr:from>
    <xdr:to>
      <xdr:col>5</xdr:col>
      <xdr:colOff>3105839</xdr:colOff>
      <xdr:row>26</xdr:row>
      <xdr:rowOff>169545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AC0C974-0286-E7AB-BEF0-CA965C33E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2645" y="5457825"/>
          <a:ext cx="604574" cy="5981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2493645</xdr:colOff>
      <xdr:row>24</xdr:row>
      <xdr:rowOff>57150</xdr:rowOff>
    </xdr:from>
    <xdr:to>
      <xdr:col>5</xdr:col>
      <xdr:colOff>3105839</xdr:colOff>
      <xdr:row>26</xdr:row>
      <xdr:rowOff>169545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B27E4E3-9169-4A7F-8512-31839215C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5525" y="5589270"/>
          <a:ext cx="612194" cy="6000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3491865</xdr:colOff>
      <xdr:row>24</xdr:row>
      <xdr:rowOff>41910</xdr:rowOff>
    </xdr:from>
    <xdr:to>
      <xdr:col>5</xdr:col>
      <xdr:colOff>4104059</xdr:colOff>
      <xdr:row>26</xdr:row>
      <xdr:rowOff>154305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CC4424F-509F-4332-8795-D67BE18D5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3745" y="5574030"/>
          <a:ext cx="612194" cy="6000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3491865</xdr:colOff>
      <xdr:row>26</xdr:row>
      <xdr:rowOff>41910</xdr:rowOff>
    </xdr:from>
    <xdr:to>
      <xdr:col>5</xdr:col>
      <xdr:colOff>4098344</xdr:colOff>
      <xdr:row>28</xdr:row>
      <xdr:rowOff>154305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5D685FA-3425-4A21-AB04-7FE20A743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7555" y="5539740"/>
          <a:ext cx="614099" cy="5962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3491865</xdr:colOff>
      <xdr:row>26</xdr:row>
      <xdr:rowOff>41910</xdr:rowOff>
    </xdr:from>
    <xdr:to>
      <xdr:col>5</xdr:col>
      <xdr:colOff>4098344</xdr:colOff>
      <xdr:row>28</xdr:row>
      <xdr:rowOff>154305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DE0B68D-5798-453F-88BA-650FA2D25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3745" y="5993130"/>
          <a:ext cx="606479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6"/>
  <sheetViews>
    <sheetView view="pageBreakPreview" zoomScaleNormal="100" zoomScaleSheetLayoutView="100" workbookViewId="0">
      <selection activeCell="E4" sqref="E4:F4"/>
    </sheetView>
  </sheetViews>
  <sheetFormatPr defaultRowHeight="17.399999999999999" x14ac:dyDescent="0.4"/>
  <cols>
    <col min="1" max="1" width="46.19921875" customWidth="1"/>
    <col min="2" max="2" width="8" customWidth="1"/>
    <col min="3" max="3" width="13.19921875" customWidth="1"/>
    <col min="4" max="5" width="15" customWidth="1"/>
    <col min="6" max="6" width="45.3984375" customWidth="1"/>
  </cols>
  <sheetData>
    <row r="1" spans="1:6" ht="33" x14ac:dyDescent="0.4">
      <c r="A1" s="29" t="s">
        <v>0</v>
      </c>
      <c r="B1" s="29"/>
      <c r="C1" s="29"/>
      <c r="D1" s="29"/>
      <c r="E1" s="29"/>
      <c r="F1" s="29"/>
    </row>
    <row r="2" spans="1:6" x14ac:dyDescent="0.4">
      <c r="A2" s="31"/>
      <c r="B2" s="33"/>
      <c r="C2" s="33"/>
      <c r="D2" s="33"/>
      <c r="E2" s="33"/>
      <c r="F2" s="33"/>
    </row>
    <row r="3" spans="1:6" x14ac:dyDescent="0.4">
      <c r="A3" s="3" t="s">
        <v>18</v>
      </c>
      <c r="B3" s="4"/>
      <c r="C3" s="4"/>
      <c r="D3" s="4" t="s">
        <v>25</v>
      </c>
      <c r="E3" s="32" t="s">
        <v>26</v>
      </c>
      <c r="F3" s="32"/>
    </row>
    <row r="4" spans="1:6" x14ac:dyDescent="0.4">
      <c r="A4" s="4" t="s">
        <v>5</v>
      </c>
      <c r="B4" s="4"/>
      <c r="C4" s="4"/>
      <c r="D4" s="4" t="s">
        <v>23</v>
      </c>
      <c r="E4" s="32" t="s">
        <v>27</v>
      </c>
      <c r="F4" s="32"/>
    </row>
    <row r="5" spans="1:6" x14ac:dyDescent="0.4">
      <c r="A5" s="4" t="s">
        <v>20</v>
      </c>
      <c r="B5" s="4"/>
      <c r="C5" s="4"/>
      <c r="D5" s="4" t="s">
        <v>24</v>
      </c>
      <c r="E5" s="32" t="s">
        <v>28</v>
      </c>
      <c r="F5" s="32"/>
    </row>
    <row r="6" spans="1:6" x14ac:dyDescent="0.4">
      <c r="A6" s="4" t="s">
        <v>6</v>
      </c>
      <c r="B6" s="4"/>
      <c r="C6" s="4"/>
      <c r="D6" s="4" t="s">
        <v>7</v>
      </c>
      <c r="E6" s="32" t="s">
        <v>29</v>
      </c>
      <c r="F6" s="32"/>
    </row>
    <row r="7" spans="1:6" x14ac:dyDescent="0.4">
      <c r="A7" s="30"/>
      <c r="B7" s="30"/>
      <c r="C7" s="30"/>
      <c r="D7" s="30"/>
      <c r="E7" s="30"/>
      <c r="F7" s="30"/>
    </row>
    <row r="8" spans="1:6" x14ac:dyDescent="0.4">
      <c r="A8" s="34" t="s">
        <v>1</v>
      </c>
      <c r="B8" s="34"/>
      <c r="C8" s="34"/>
      <c r="D8" s="34"/>
      <c r="E8" s="34"/>
      <c r="F8" s="34"/>
    </row>
    <row r="9" spans="1:6" ht="18" thickBot="1" x14ac:dyDescent="0.45">
      <c r="A9" s="31"/>
      <c r="B9" s="31"/>
      <c r="C9" s="31"/>
      <c r="D9" s="31"/>
      <c r="E9" s="31"/>
      <c r="F9" s="31"/>
    </row>
    <row r="10" spans="1:6" x14ac:dyDescent="0.4">
      <c r="A10" s="20" t="s">
        <v>2</v>
      </c>
      <c r="B10" s="21" t="s">
        <v>8</v>
      </c>
      <c r="C10" s="21" t="s">
        <v>21</v>
      </c>
      <c r="D10" s="21" t="s">
        <v>9</v>
      </c>
      <c r="E10" s="21" t="s">
        <v>13</v>
      </c>
      <c r="F10" s="22" t="s">
        <v>10</v>
      </c>
    </row>
    <row r="11" spans="1:6" x14ac:dyDescent="0.4">
      <c r="A11" s="6" t="s">
        <v>30</v>
      </c>
      <c r="B11" s="7">
        <v>1</v>
      </c>
      <c r="C11" s="7">
        <v>30000</v>
      </c>
      <c r="D11" s="1" t="s">
        <v>11</v>
      </c>
      <c r="E11" s="1" t="s">
        <v>14</v>
      </c>
      <c r="F11" s="5" t="s">
        <v>12</v>
      </c>
    </row>
    <row r="12" spans="1:6" x14ac:dyDescent="0.4">
      <c r="A12" s="6" t="s">
        <v>30</v>
      </c>
      <c r="B12" s="7">
        <v>1</v>
      </c>
      <c r="C12" s="7">
        <v>30000</v>
      </c>
      <c r="D12" s="1" t="s">
        <v>17</v>
      </c>
      <c r="E12" s="1" t="s">
        <v>15</v>
      </c>
      <c r="F12" s="5" t="s">
        <v>16</v>
      </c>
    </row>
    <row r="13" spans="1:6" x14ac:dyDescent="0.4">
      <c r="A13" s="12"/>
      <c r="B13" s="13"/>
      <c r="C13" s="13"/>
      <c r="D13" s="14"/>
      <c r="E13" s="14"/>
      <c r="F13" s="15"/>
    </row>
    <row r="14" spans="1:6" x14ac:dyDescent="0.4">
      <c r="A14" s="12"/>
      <c r="B14" s="13"/>
      <c r="C14" s="13"/>
      <c r="D14" s="14"/>
      <c r="E14" s="14"/>
      <c r="F14" s="15"/>
    </row>
    <row r="15" spans="1:6" x14ac:dyDescent="0.4">
      <c r="A15" s="12"/>
      <c r="B15" s="13"/>
      <c r="C15" s="13"/>
      <c r="D15" s="14"/>
      <c r="E15" s="14"/>
      <c r="F15" s="15"/>
    </row>
    <row r="16" spans="1:6" x14ac:dyDescent="0.4">
      <c r="A16" s="12"/>
      <c r="B16" s="13"/>
      <c r="C16" s="13"/>
      <c r="D16" s="14"/>
      <c r="E16" s="14"/>
      <c r="F16" s="15"/>
    </row>
    <row r="17" spans="1:6" x14ac:dyDescent="0.4">
      <c r="A17" s="12"/>
      <c r="B17" s="13"/>
      <c r="C17" s="13"/>
      <c r="D17" s="14"/>
      <c r="E17" s="14"/>
      <c r="F17" s="15"/>
    </row>
    <row r="18" spans="1:6" x14ac:dyDescent="0.4">
      <c r="A18" s="12"/>
      <c r="B18" s="13"/>
      <c r="C18" s="13"/>
      <c r="D18" s="14"/>
      <c r="E18" s="14"/>
      <c r="F18" s="15"/>
    </row>
    <row r="19" spans="1:6" x14ac:dyDescent="0.4">
      <c r="A19" s="12"/>
      <c r="B19" s="13"/>
      <c r="C19" s="13"/>
      <c r="D19" s="14"/>
      <c r="E19" s="14"/>
      <c r="F19" s="15"/>
    </row>
    <row r="20" spans="1:6" ht="18" thickBot="1" x14ac:dyDescent="0.45">
      <c r="A20" s="16"/>
      <c r="B20" s="17"/>
      <c r="C20" s="18"/>
      <c r="D20" s="17"/>
      <c r="E20" s="17"/>
      <c r="F20" s="19"/>
    </row>
    <row r="21" spans="1:6" ht="18.600000000000001" thickTop="1" thickBot="1" x14ac:dyDescent="0.45">
      <c r="A21" s="8" t="s">
        <v>3</v>
      </c>
      <c r="B21" s="9">
        <f t="shared" ref="B21:C21" si="0">SUM(B11:B20)</f>
        <v>2</v>
      </c>
      <c r="C21" s="9">
        <f t="shared" si="0"/>
        <v>60000</v>
      </c>
      <c r="D21" s="10" t="s">
        <v>22</v>
      </c>
      <c r="E21" s="10" t="s">
        <v>22</v>
      </c>
      <c r="F21" s="11" t="s">
        <v>22</v>
      </c>
    </row>
    <row r="22" spans="1:6" x14ac:dyDescent="0.4">
      <c r="A22" s="2"/>
      <c r="B22" s="2"/>
      <c r="C22" s="2"/>
      <c r="D22" s="2"/>
      <c r="E22" s="2"/>
      <c r="F22" s="2"/>
    </row>
    <row r="23" spans="1:6" x14ac:dyDescent="0.4">
      <c r="A23" s="33"/>
      <c r="B23" s="33"/>
      <c r="C23" s="33"/>
      <c r="D23" s="33"/>
      <c r="E23" s="33"/>
      <c r="F23" s="33"/>
    </row>
    <row r="24" spans="1:6" x14ac:dyDescent="0.4">
      <c r="A24" s="30" t="s">
        <v>4</v>
      </c>
      <c r="B24" s="30"/>
      <c r="C24" s="30"/>
      <c r="D24" s="30"/>
      <c r="E24" s="30"/>
      <c r="F24" s="30"/>
    </row>
    <row r="26" spans="1:6" ht="21" x14ac:dyDescent="0.45">
      <c r="A26" s="28" t="s">
        <v>19</v>
      </c>
      <c r="B26" s="28"/>
      <c r="C26" s="28"/>
      <c r="D26" s="28"/>
      <c r="E26" s="28"/>
      <c r="F26" s="28"/>
    </row>
  </sheetData>
  <mergeCells count="12">
    <mergeCell ref="A26:F26"/>
    <mergeCell ref="A1:F1"/>
    <mergeCell ref="A7:F7"/>
    <mergeCell ref="A9:F9"/>
    <mergeCell ref="E3:F3"/>
    <mergeCell ref="E4:F4"/>
    <mergeCell ref="E5:F5"/>
    <mergeCell ref="E6:F6"/>
    <mergeCell ref="A2:F2"/>
    <mergeCell ref="A8:F8"/>
    <mergeCell ref="A23:F23"/>
    <mergeCell ref="A24:F24"/>
  </mergeCells>
  <phoneticPr fontId="2" type="noConversion"/>
  <pageMargins left="0.75" right="0.75" top="1" bottom="1" header="0.5" footer="0.5"/>
  <pageSetup paperSize="9" scale="8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8493D-C514-4A96-BEB4-00541D66AF2F}">
  <sheetPr>
    <pageSetUpPr fitToPage="1"/>
  </sheetPr>
  <dimension ref="A1:F26"/>
  <sheetViews>
    <sheetView view="pageBreakPreview" zoomScaleNormal="100" zoomScaleSheetLayoutView="100" workbookViewId="0">
      <selection activeCell="E6" sqref="E6:F6"/>
    </sheetView>
  </sheetViews>
  <sheetFormatPr defaultRowHeight="17.399999999999999" x14ac:dyDescent="0.4"/>
  <cols>
    <col min="1" max="1" width="46.19921875" customWidth="1"/>
    <col min="2" max="2" width="8" customWidth="1"/>
    <col min="3" max="3" width="13.19921875" customWidth="1"/>
    <col min="4" max="5" width="15" customWidth="1"/>
    <col min="6" max="6" width="45.3984375" customWidth="1"/>
  </cols>
  <sheetData>
    <row r="1" spans="1:6" ht="33" x14ac:dyDescent="0.4">
      <c r="A1" s="29" t="s">
        <v>0</v>
      </c>
      <c r="B1" s="29"/>
      <c r="C1" s="29"/>
      <c r="D1" s="29"/>
      <c r="E1" s="29"/>
      <c r="F1" s="29"/>
    </row>
    <row r="2" spans="1:6" x14ac:dyDescent="0.4">
      <c r="A2" s="31"/>
      <c r="B2" s="33"/>
      <c r="C2" s="33"/>
      <c r="D2" s="33"/>
      <c r="E2" s="33"/>
      <c r="F2" s="33"/>
    </row>
    <row r="3" spans="1:6" x14ac:dyDescent="0.4">
      <c r="A3" s="3" t="s">
        <v>31</v>
      </c>
      <c r="B3" s="4"/>
      <c r="C3" s="4"/>
      <c r="D3" s="4" t="s">
        <v>25</v>
      </c>
      <c r="E3" s="32" t="s">
        <v>26</v>
      </c>
      <c r="F3" s="32"/>
    </row>
    <row r="4" spans="1:6" x14ac:dyDescent="0.4">
      <c r="A4" s="4" t="s">
        <v>5</v>
      </c>
      <c r="B4" s="4"/>
      <c r="C4" s="4"/>
      <c r="D4" s="4" t="s">
        <v>23</v>
      </c>
      <c r="E4" s="32" t="s">
        <v>27</v>
      </c>
      <c r="F4" s="32"/>
    </row>
    <row r="5" spans="1:6" x14ac:dyDescent="0.4">
      <c r="A5" s="4" t="s">
        <v>20</v>
      </c>
      <c r="B5" s="4"/>
      <c r="C5" s="4"/>
      <c r="D5" s="4" t="s">
        <v>24</v>
      </c>
      <c r="E5" s="32" t="s">
        <v>28</v>
      </c>
      <c r="F5" s="32"/>
    </row>
    <row r="6" spans="1:6" x14ac:dyDescent="0.4">
      <c r="A6" s="4" t="s">
        <v>6</v>
      </c>
      <c r="B6" s="4"/>
      <c r="C6" s="4"/>
      <c r="D6" s="4" t="s">
        <v>7</v>
      </c>
      <c r="E6" s="32" t="s">
        <v>29</v>
      </c>
      <c r="F6" s="32"/>
    </row>
    <row r="7" spans="1:6" x14ac:dyDescent="0.4">
      <c r="A7" s="30"/>
      <c r="B7" s="30"/>
      <c r="C7" s="30"/>
      <c r="D7" s="30"/>
      <c r="E7" s="30"/>
      <c r="F7" s="30"/>
    </row>
    <row r="8" spans="1:6" x14ac:dyDescent="0.4">
      <c r="A8" s="34" t="s">
        <v>1</v>
      </c>
      <c r="B8" s="34"/>
      <c r="C8" s="34"/>
      <c r="D8" s="34"/>
      <c r="E8" s="34"/>
      <c r="F8" s="34"/>
    </row>
    <row r="9" spans="1:6" ht="18" thickBot="1" x14ac:dyDescent="0.45">
      <c r="A9" s="31"/>
      <c r="B9" s="31"/>
      <c r="C9" s="31"/>
      <c r="D9" s="31"/>
      <c r="E9" s="31"/>
      <c r="F9" s="31"/>
    </row>
    <row r="10" spans="1:6" x14ac:dyDescent="0.4">
      <c r="A10" s="20" t="s">
        <v>2</v>
      </c>
      <c r="B10" s="21" t="s">
        <v>8</v>
      </c>
      <c r="C10" s="21" t="s">
        <v>21</v>
      </c>
      <c r="D10" s="21" t="s">
        <v>9</v>
      </c>
      <c r="E10" s="21" t="s">
        <v>13</v>
      </c>
      <c r="F10" s="22" t="s">
        <v>10</v>
      </c>
    </row>
    <row r="11" spans="1:6" x14ac:dyDescent="0.4">
      <c r="A11" s="6" t="s">
        <v>30</v>
      </c>
      <c r="B11" s="7">
        <v>1</v>
      </c>
      <c r="C11" s="7">
        <v>34500</v>
      </c>
      <c r="D11" s="1" t="s">
        <v>34</v>
      </c>
      <c r="E11" s="1" t="s">
        <v>33</v>
      </c>
      <c r="F11" s="5" t="s">
        <v>32</v>
      </c>
    </row>
    <row r="12" spans="1:6" x14ac:dyDescent="0.4">
      <c r="A12" s="12"/>
      <c r="B12" s="13"/>
      <c r="C12" s="13"/>
      <c r="D12" s="14"/>
      <c r="E12" s="14"/>
      <c r="F12" s="15"/>
    </row>
    <row r="13" spans="1:6" x14ac:dyDescent="0.4">
      <c r="A13" s="12"/>
      <c r="B13" s="13"/>
      <c r="C13" s="13"/>
      <c r="D13" s="14"/>
      <c r="E13" s="14"/>
      <c r="F13" s="15"/>
    </row>
    <row r="14" spans="1:6" x14ac:dyDescent="0.4">
      <c r="A14" s="12"/>
      <c r="B14" s="13"/>
      <c r="C14" s="13"/>
      <c r="D14" s="14"/>
      <c r="E14" s="14"/>
      <c r="F14" s="15"/>
    </row>
    <row r="15" spans="1:6" x14ac:dyDescent="0.4">
      <c r="A15" s="12"/>
      <c r="B15" s="13"/>
      <c r="C15" s="13"/>
      <c r="D15" s="14"/>
      <c r="E15" s="14"/>
      <c r="F15" s="15"/>
    </row>
    <row r="16" spans="1:6" x14ac:dyDescent="0.4">
      <c r="A16" s="12"/>
      <c r="B16" s="13"/>
      <c r="C16" s="13"/>
      <c r="D16" s="14"/>
      <c r="E16" s="14"/>
      <c r="F16" s="15"/>
    </row>
    <row r="17" spans="1:6" x14ac:dyDescent="0.4">
      <c r="A17" s="12"/>
      <c r="B17" s="13"/>
      <c r="C17" s="13"/>
      <c r="D17" s="14"/>
      <c r="E17" s="14"/>
      <c r="F17" s="15"/>
    </row>
    <row r="18" spans="1:6" x14ac:dyDescent="0.4">
      <c r="A18" s="12"/>
      <c r="B18" s="13"/>
      <c r="C18" s="13"/>
      <c r="D18" s="14"/>
      <c r="E18" s="14"/>
      <c r="F18" s="15"/>
    </row>
    <row r="19" spans="1:6" x14ac:dyDescent="0.4">
      <c r="A19" s="12"/>
      <c r="B19" s="13"/>
      <c r="C19" s="13"/>
      <c r="D19" s="14"/>
      <c r="E19" s="14"/>
      <c r="F19" s="15"/>
    </row>
    <row r="20" spans="1:6" ht="18" thickBot="1" x14ac:dyDescent="0.45">
      <c r="A20" s="16"/>
      <c r="B20" s="17"/>
      <c r="C20" s="18"/>
      <c r="D20" s="17"/>
      <c r="E20" s="17"/>
      <c r="F20" s="19"/>
    </row>
    <row r="21" spans="1:6" ht="18.600000000000001" thickTop="1" thickBot="1" x14ac:dyDescent="0.45">
      <c r="A21" s="8" t="s">
        <v>3</v>
      </c>
      <c r="B21" s="9">
        <f t="shared" ref="B21:C21" si="0">SUM(B11:B20)</f>
        <v>1</v>
      </c>
      <c r="C21" s="9">
        <f t="shared" si="0"/>
        <v>34500</v>
      </c>
      <c r="D21" s="10" t="s">
        <v>22</v>
      </c>
      <c r="E21" s="10" t="s">
        <v>22</v>
      </c>
      <c r="F21" s="11" t="s">
        <v>22</v>
      </c>
    </row>
    <row r="22" spans="1:6" x14ac:dyDescent="0.4">
      <c r="A22" s="2"/>
      <c r="B22" s="2"/>
      <c r="C22" s="2"/>
      <c r="D22" s="2"/>
      <c r="E22" s="2"/>
      <c r="F22" s="2"/>
    </row>
    <row r="23" spans="1:6" x14ac:dyDescent="0.4">
      <c r="A23" s="33"/>
      <c r="B23" s="33"/>
      <c r="C23" s="33"/>
      <c r="D23" s="33"/>
      <c r="E23" s="33"/>
      <c r="F23" s="33"/>
    </row>
    <row r="24" spans="1:6" x14ac:dyDescent="0.4">
      <c r="A24" s="30" t="s">
        <v>4</v>
      </c>
      <c r="B24" s="30"/>
      <c r="C24" s="30"/>
      <c r="D24" s="30"/>
      <c r="E24" s="30"/>
      <c r="F24" s="30"/>
    </row>
    <row r="26" spans="1:6" ht="21" x14ac:dyDescent="0.45">
      <c r="A26" s="28" t="s">
        <v>19</v>
      </c>
      <c r="B26" s="28"/>
      <c r="C26" s="28"/>
      <c r="D26" s="28"/>
      <c r="E26" s="28"/>
      <c r="F26" s="28"/>
    </row>
  </sheetData>
  <mergeCells count="12">
    <mergeCell ref="A26:F26"/>
    <mergeCell ref="A1:F1"/>
    <mergeCell ref="A2:F2"/>
    <mergeCell ref="E3:F3"/>
    <mergeCell ref="E4:F4"/>
    <mergeCell ref="E5:F5"/>
    <mergeCell ref="E6:F6"/>
    <mergeCell ref="A7:F7"/>
    <mergeCell ref="A8:F8"/>
    <mergeCell ref="A9:F9"/>
    <mergeCell ref="A23:F23"/>
    <mergeCell ref="A24:F24"/>
  </mergeCells>
  <phoneticPr fontId="2" type="noConversion"/>
  <pageMargins left="0.75" right="0.75" top="1" bottom="1" header="0.5" footer="0.5"/>
  <pageSetup paperSize="9" scale="84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C1C18-CF1F-4688-889E-5DF462DA3CC0}">
  <sheetPr>
    <pageSetUpPr fitToPage="1"/>
  </sheetPr>
  <dimension ref="A1:F26"/>
  <sheetViews>
    <sheetView view="pageBreakPreview" zoomScaleNormal="100" zoomScaleSheetLayoutView="100" workbookViewId="0">
      <selection activeCell="K13" sqref="K13"/>
    </sheetView>
  </sheetViews>
  <sheetFormatPr defaultRowHeight="17.399999999999999" x14ac:dyDescent="0.4"/>
  <cols>
    <col min="1" max="1" width="46.19921875" customWidth="1"/>
    <col min="2" max="2" width="8" customWidth="1"/>
    <col min="3" max="3" width="13.19921875" customWidth="1"/>
    <col min="4" max="5" width="15" customWidth="1"/>
    <col min="6" max="6" width="58.5" bestFit="1" customWidth="1"/>
  </cols>
  <sheetData>
    <row r="1" spans="1:6" ht="33" x14ac:dyDescent="0.4">
      <c r="A1" s="29" t="s">
        <v>0</v>
      </c>
      <c r="B1" s="29"/>
      <c r="C1" s="29"/>
      <c r="D1" s="29"/>
      <c r="E1" s="29"/>
      <c r="F1" s="29"/>
    </row>
    <row r="2" spans="1:6" x14ac:dyDescent="0.4">
      <c r="A2" s="31"/>
      <c r="B2" s="33"/>
      <c r="C2" s="33"/>
      <c r="D2" s="33"/>
      <c r="E2" s="33"/>
      <c r="F2" s="33"/>
    </row>
    <row r="3" spans="1:6" x14ac:dyDescent="0.4">
      <c r="A3" s="3" t="s">
        <v>35</v>
      </c>
      <c r="B3" s="4"/>
      <c r="C3" s="4"/>
      <c r="D3" s="4" t="s">
        <v>25</v>
      </c>
      <c r="E3" s="32" t="s">
        <v>26</v>
      </c>
      <c r="F3" s="32"/>
    </row>
    <row r="4" spans="1:6" x14ac:dyDescent="0.4">
      <c r="A4" s="4" t="s">
        <v>5</v>
      </c>
      <c r="B4" s="4"/>
      <c r="C4" s="4"/>
      <c r="D4" s="4" t="s">
        <v>23</v>
      </c>
      <c r="E4" s="32" t="s">
        <v>27</v>
      </c>
      <c r="F4" s="32"/>
    </row>
    <row r="5" spans="1:6" x14ac:dyDescent="0.4">
      <c r="A5" s="4" t="s">
        <v>20</v>
      </c>
      <c r="B5" s="4"/>
      <c r="C5" s="4"/>
      <c r="D5" s="4" t="s">
        <v>24</v>
      </c>
      <c r="E5" s="32" t="s">
        <v>28</v>
      </c>
      <c r="F5" s="32"/>
    </row>
    <row r="6" spans="1:6" x14ac:dyDescent="0.4">
      <c r="A6" s="4" t="s">
        <v>6</v>
      </c>
      <c r="B6" s="4"/>
      <c r="C6" s="4"/>
      <c r="D6" s="4" t="s">
        <v>7</v>
      </c>
      <c r="E6" s="32" t="s">
        <v>29</v>
      </c>
      <c r="F6" s="32"/>
    </row>
    <row r="7" spans="1:6" x14ac:dyDescent="0.4">
      <c r="A7" s="30"/>
      <c r="B7" s="30"/>
      <c r="C7" s="30"/>
      <c r="D7" s="30"/>
      <c r="E7" s="30"/>
      <c r="F7" s="30"/>
    </row>
    <row r="8" spans="1:6" x14ac:dyDescent="0.4">
      <c r="A8" s="34" t="s">
        <v>1</v>
      </c>
      <c r="B8" s="34"/>
      <c r="C8" s="34"/>
      <c r="D8" s="34"/>
      <c r="E8" s="34"/>
      <c r="F8" s="34"/>
    </row>
    <row r="9" spans="1:6" ht="18" thickBot="1" x14ac:dyDescent="0.45">
      <c r="A9" s="31"/>
      <c r="B9" s="31"/>
      <c r="C9" s="31"/>
      <c r="D9" s="31"/>
      <c r="E9" s="31"/>
      <c r="F9" s="31"/>
    </row>
    <row r="10" spans="1:6" x14ac:dyDescent="0.4">
      <c r="A10" s="20" t="s">
        <v>2</v>
      </c>
      <c r="B10" s="21" t="s">
        <v>8</v>
      </c>
      <c r="C10" s="21" t="s">
        <v>21</v>
      </c>
      <c r="D10" s="21" t="s">
        <v>9</v>
      </c>
      <c r="E10" s="21" t="s">
        <v>13</v>
      </c>
      <c r="F10" s="22" t="s">
        <v>10</v>
      </c>
    </row>
    <row r="11" spans="1:6" x14ac:dyDescent="0.4">
      <c r="A11" s="6" t="s">
        <v>30</v>
      </c>
      <c r="B11" s="7">
        <v>1</v>
      </c>
      <c r="C11" s="7">
        <v>34500</v>
      </c>
      <c r="D11" s="1" t="s">
        <v>36</v>
      </c>
      <c r="E11" s="1" t="s">
        <v>38</v>
      </c>
      <c r="F11" s="5" t="s">
        <v>37</v>
      </c>
    </row>
    <row r="12" spans="1:6" x14ac:dyDescent="0.4">
      <c r="A12" s="6" t="s">
        <v>30</v>
      </c>
      <c r="B12" s="23">
        <v>1</v>
      </c>
      <c r="C12" s="23">
        <v>34500</v>
      </c>
      <c r="D12" s="1" t="s">
        <v>39</v>
      </c>
      <c r="E12" s="1" t="s">
        <v>40</v>
      </c>
      <c r="F12" s="5" t="s">
        <v>41</v>
      </c>
    </row>
    <row r="13" spans="1:6" x14ac:dyDescent="0.4">
      <c r="A13" s="6" t="s">
        <v>30</v>
      </c>
      <c r="B13" s="23">
        <v>1</v>
      </c>
      <c r="C13" s="23">
        <v>34500</v>
      </c>
      <c r="D13" s="1" t="s">
        <v>42</v>
      </c>
      <c r="E13" s="1" t="s">
        <v>43</v>
      </c>
      <c r="F13" s="5" t="s">
        <v>44</v>
      </c>
    </row>
    <row r="14" spans="1:6" x14ac:dyDescent="0.4">
      <c r="A14" s="6" t="s">
        <v>30</v>
      </c>
      <c r="B14" s="23">
        <v>1</v>
      </c>
      <c r="C14" s="23">
        <v>34500</v>
      </c>
      <c r="D14" s="1" t="s">
        <v>45</v>
      </c>
      <c r="E14" s="1" t="s">
        <v>46</v>
      </c>
      <c r="F14" s="5" t="s">
        <v>47</v>
      </c>
    </row>
    <row r="15" spans="1:6" x14ac:dyDescent="0.4">
      <c r="A15" s="6" t="s">
        <v>30</v>
      </c>
      <c r="B15" s="23">
        <v>1</v>
      </c>
      <c r="C15" s="23">
        <v>34500</v>
      </c>
      <c r="D15" s="1" t="s">
        <v>48</v>
      </c>
      <c r="E15" s="1" t="s">
        <v>49</v>
      </c>
      <c r="F15" s="5" t="s">
        <v>50</v>
      </c>
    </row>
    <row r="16" spans="1:6" x14ac:dyDescent="0.4">
      <c r="A16" s="12"/>
      <c r="B16" s="13"/>
      <c r="C16" s="13"/>
      <c r="D16" s="14"/>
      <c r="E16" s="14"/>
      <c r="F16" s="15"/>
    </row>
    <row r="17" spans="1:6" x14ac:dyDescent="0.4">
      <c r="A17" s="12"/>
      <c r="B17" s="13"/>
      <c r="C17" s="13"/>
      <c r="D17" s="14"/>
      <c r="E17" s="14"/>
      <c r="F17" s="15"/>
    </row>
    <row r="18" spans="1:6" x14ac:dyDescent="0.4">
      <c r="A18" s="12"/>
      <c r="B18" s="13"/>
      <c r="C18" s="13"/>
      <c r="D18" s="14"/>
      <c r="E18" s="14"/>
      <c r="F18" s="15"/>
    </row>
    <row r="19" spans="1:6" x14ac:dyDescent="0.4">
      <c r="A19" s="12"/>
      <c r="B19" s="13"/>
      <c r="C19" s="13"/>
      <c r="D19" s="14"/>
      <c r="E19" s="14"/>
      <c r="F19" s="15"/>
    </row>
    <row r="20" spans="1:6" ht="18" thickBot="1" x14ac:dyDescent="0.45">
      <c r="A20" s="16"/>
      <c r="B20" s="17"/>
      <c r="C20" s="18"/>
      <c r="D20" s="17"/>
      <c r="E20" s="17"/>
      <c r="F20" s="19"/>
    </row>
    <row r="21" spans="1:6" ht="18.600000000000001" thickTop="1" thickBot="1" x14ac:dyDescent="0.45">
      <c r="A21" s="8" t="s">
        <v>3</v>
      </c>
      <c r="B21" s="9">
        <f t="shared" ref="B21:C21" si="0">SUM(B11:B20)</f>
        <v>5</v>
      </c>
      <c r="C21" s="9">
        <f t="shared" si="0"/>
        <v>172500</v>
      </c>
      <c r="D21" s="10" t="s">
        <v>22</v>
      </c>
      <c r="E21" s="10" t="s">
        <v>22</v>
      </c>
      <c r="F21" s="11" t="s">
        <v>22</v>
      </c>
    </row>
    <row r="22" spans="1:6" x14ac:dyDescent="0.4">
      <c r="A22" s="2"/>
      <c r="B22" s="2"/>
      <c r="C22" s="2"/>
      <c r="D22" s="2"/>
      <c r="E22" s="2"/>
      <c r="F22" s="2"/>
    </row>
    <row r="23" spans="1:6" x14ac:dyDescent="0.4">
      <c r="A23" s="33"/>
      <c r="B23" s="33"/>
      <c r="C23" s="33"/>
      <c r="D23" s="33"/>
      <c r="E23" s="33"/>
      <c r="F23" s="33"/>
    </row>
    <row r="24" spans="1:6" x14ac:dyDescent="0.4">
      <c r="A24" s="30" t="s">
        <v>4</v>
      </c>
      <c r="B24" s="30"/>
      <c r="C24" s="30"/>
      <c r="D24" s="30"/>
      <c r="E24" s="30"/>
      <c r="F24" s="30"/>
    </row>
    <row r="26" spans="1:6" ht="21" x14ac:dyDescent="0.45">
      <c r="A26" s="28" t="s">
        <v>19</v>
      </c>
      <c r="B26" s="28"/>
      <c r="C26" s="28"/>
      <c r="D26" s="28"/>
      <c r="E26" s="28"/>
      <c r="F26" s="28"/>
    </row>
  </sheetData>
  <mergeCells count="12">
    <mergeCell ref="A26:F26"/>
    <mergeCell ref="A1:F1"/>
    <mergeCell ref="A2:F2"/>
    <mergeCell ref="E3:F3"/>
    <mergeCell ref="E4:F4"/>
    <mergeCell ref="E5:F5"/>
    <mergeCell ref="E6:F6"/>
    <mergeCell ref="A7:F7"/>
    <mergeCell ref="A8:F8"/>
    <mergeCell ref="A9:F9"/>
    <mergeCell ref="A23:F23"/>
    <mergeCell ref="A24:F24"/>
  </mergeCells>
  <phoneticPr fontId="2" type="noConversion"/>
  <pageMargins left="0.75" right="0.75" top="1" bottom="1" header="0.5" footer="0.5"/>
  <pageSetup paperSize="9" scale="77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A2DF8-3D03-4C91-8F0C-AE3D96748504}">
  <sheetPr>
    <pageSetUpPr fitToPage="1"/>
  </sheetPr>
  <dimension ref="A1:L28"/>
  <sheetViews>
    <sheetView view="pageBreakPreview" zoomScaleNormal="100" zoomScaleSheetLayoutView="100" workbookViewId="0">
      <selection activeCell="L4" sqref="L4"/>
    </sheetView>
  </sheetViews>
  <sheetFormatPr defaultRowHeight="17.399999999999999" x14ac:dyDescent="0.4"/>
  <cols>
    <col min="1" max="1" width="46.19921875" customWidth="1"/>
    <col min="2" max="2" width="8" customWidth="1"/>
    <col min="3" max="3" width="13.19921875" customWidth="1"/>
    <col min="4" max="5" width="15" customWidth="1"/>
    <col min="6" max="6" width="58.5" bestFit="1" customWidth="1"/>
    <col min="9" max="9" width="8.796875" customWidth="1"/>
    <col min="10" max="10" width="1.3984375" customWidth="1"/>
  </cols>
  <sheetData>
    <row r="1" spans="1:12" ht="33" x14ac:dyDescent="0.4">
      <c r="A1" s="29" t="s">
        <v>0</v>
      </c>
      <c r="B1" s="29"/>
      <c r="C1" s="29"/>
      <c r="D1" s="29"/>
      <c r="E1" s="29"/>
      <c r="F1" s="29"/>
    </row>
    <row r="2" spans="1:12" x14ac:dyDescent="0.4">
      <c r="A2" s="31"/>
      <c r="B2" s="33"/>
      <c r="C2" s="33"/>
      <c r="D2" s="33"/>
      <c r="E2" s="33"/>
      <c r="F2" s="33"/>
    </row>
    <row r="3" spans="1:12" x14ac:dyDescent="0.4">
      <c r="A3" s="3" t="s">
        <v>51</v>
      </c>
      <c r="B3" s="4"/>
      <c r="C3" s="4"/>
      <c r="D3" s="4" t="s">
        <v>25</v>
      </c>
      <c r="E3" s="32" t="s">
        <v>26</v>
      </c>
      <c r="F3" s="32"/>
    </row>
    <row r="4" spans="1:12" x14ac:dyDescent="0.4">
      <c r="A4" s="4" t="s">
        <v>5</v>
      </c>
      <c r="B4" s="4"/>
      <c r="C4" s="4"/>
      <c r="D4" s="4" t="s">
        <v>23</v>
      </c>
      <c r="E4" s="32" t="s">
        <v>27</v>
      </c>
      <c r="F4" s="32"/>
    </row>
    <row r="5" spans="1:12" x14ac:dyDescent="0.4">
      <c r="A5" s="4" t="s">
        <v>20</v>
      </c>
      <c r="B5" s="4"/>
      <c r="C5" s="4"/>
      <c r="D5" s="4" t="s">
        <v>24</v>
      </c>
      <c r="E5" s="32" t="s">
        <v>28</v>
      </c>
      <c r="F5" s="32"/>
    </row>
    <row r="6" spans="1:12" x14ac:dyDescent="0.4">
      <c r="A6" s="4" t="s">
        <v>6</v>
      </c>
      <c r="B6" s="4"/>
      <c r="C6" s="4"/>
      <c r="D6" s="4" t="s">
        <v>7</v>
      </c>
      <c r="E6" s="32" t="s">
        <v>29</v>
      </c>
      <c r="F6" s="32"/>
    </row>
    <row r="7" spans="1:12" x14ac:dyDescent="0.4">
      <c r="A7" s="30"/>
      <c r="B7" s="30"/>
      <c r="C7" s="30"/>
      <c r="D7" s="30"/>
      <c r="E7" s="30"/>
      <c r="F7" s="30"/>
    </row>
    <row r="8" spans="1:12" x14ac:dyDescent="0.4">
      <c r="A8" s="34" t="s">
        <v>1</v>
      </c>
      <c r="B8" s="34"/>
      <c r="C8" s="34"/>
      <c r="D8" s="34"/>
      <c r="E8" s="34"/>
      <c r="F8" s="34"/>
    </row>
    <row r="9" spans="1:12" ht="18" thickBot="1" x14ac:dyDescent="0.45">
      <c r="A9" s="31"/>
      <c r="B9" s="31"/>
      <c r="C9" s="31"/>
      <c r="D9" s="31"/>
      <c r="E9" s="31"/>
      <c r="F9" s="31"/>
    </row>
    <row r="10" spans="1:12" x14ac:dyDescent="0.4">
      <c r="A10" s="20" t="s">
        <v>2</v>
      </c>
      <c r="B10" s="21" t="s">
        <v>8</v>
      </c>
      <c r="C10" s="21" t="s">
        <v>21</v>
      </c>
      <c r="D10" s="21" t="s">
        <v>9</v>
      </c>
      <c r="E10" s="21" t="s">
        <v>13</v>
      </c>
      <c r="F10" s="22" t="s">
        <v>10</v>
      </c>
    </row>
    <row r="11" spans="1:12" x14ac:dyDescent="0.4">
      <c r="A11" s="26" t="s">
        <v>58</v>
      </c>
      <c r="B11" s="7">
        <v>1</v>
      </c>
      <c r="C11" s="7">
        <v>34500</v>
      </c>
      <c r="D11" s="1" t="s">
        <v>59</v>
      </c>
      <c r="E11" s="1" t="s">
        <v>60</v>
      </c>
      <c r="F11" s="5" t="s">
        <v>61</v>
      </c>
      <c r="H11">
        <v>36900</v>
      </c>
      <c r="I11" s="27">
        <f>H11-C11</f>
        <v>2400</v>
      </c>
      <c r="J11" s="27"/>
      <c r="K11" s="24" t="s">
        <v>52</v>
      </c>
      <c r="L11" s="24" t="s">
        <v>53</v>
      </c>
    </row>
    <row r="12" spans="1:12" x14ac:dyDescent="0.4">
      <c r="A12" s="26" t="s">
        <v>58</v>
      </c>
      <c r="B12" s="7">
        <v>1</v>
      </c>
      <c r="C12" s="7">
        <v>34500</v>
      </c>
      <c r="D12" s="1" t="s">
        <v>75</v>
      </c>
      <c r="E12" s="1" t="s">
        <v>76</v>
      </c>
      <c r="F12" s="5" t="s">
        <v>77</v>
      </c>
      <c r="H12">
        <v>36900</v>
      </c>
      <c r="I12" s="27">
        <f t="shared" ref="I12:I17" si="0">H12-C12</f>
        <v>2400</v>
      </c>
      <c r="J12" s="27"/>
      <c r="K12" s="24"/>
      <c r="L12" s="24"/>
    </row>
    <row r="13" spans="1:12" x14ac:dyDescent="0.4">
      <c r="A13" s="26" t="s">
        <v>62</v>
      </c>
      <c r="B13" s="23">
        <v>1</v>
      </c>
      <c r="C13" s="7">
        <v>34500</v>
      </c>
      <c r="D13" s="1" t="s">
        <v>63</v>
      </c>
      <c r="E13" s="1" t="s">
        <v>64</v>
      </c>
      <c r="F13" s="5" t="s">
        <v>65</v>
      </c>
      <c r="H13">
        <v>36900</v>
      </c>
      <c r="I13" s="27">
        <f t="shared" si="0"/>
        <v>2400</v>
      </c>
      <c r="J13" s="27"/>
      <c r="K13" s="25" t="s">
        <v>54</v>
      </c>
      <c r="L13" s="25" t="s">
        <v>55</v>
      </c>
    </row>
    <row r="14" spans="1:12" x14ac:dyDescent="0.4">
      <c r="A14" s="26" t="s">
        <v>62</v>
      </c>
      <c r="B14" s="23">
        <v>1</v>
      </c>
      <c r="C14" s="7">
        <v>34500</v>
      </c>
      <c r="D14" s="1" t="s">
        <v>66</v>
      </c>
      <c r="E14" s="1" t="s">
        <v>67</v>
      </c>
      <c r="F14" s="5" t="s">
        <v>68</v>
      </c>
      <c r="H14">
        <v>36900</v>
      </c>
      <c r="I14" s="27">
        <f t="shared" si="0"/>
        <v>2400</v>
      </c>
      <c r="J14" s="27"/>
      <c r="K14" s="25" t="s">
        <v>56</v>
      </c>
      <c r="L14" s="25" t="s">
        <v>57</v>
      </c>
    </row>
    <row r="15" spans="1:12" ht="16.8" customHeight="1" x14ac:dyDescent="0.4">
      <c r="A15" s="26" t="s">
        <v>62</v>
      </c>
      <c r="B15" s="23">
        <v>1</v>
      </c>
      <c r="C15" s="7">
        <v>34500</v>
      </c>
      <c r="D15" s="1" t="s">
        <v>69</v>
      </c>
      <c r="E15" s="1" t="s">
        <v>70</v>
      </c>
      <c r="F15" s="5" t="s">
        <v>71</v>
      </c>
      <c r="H15">
        <v>36900</v>
      </c>
      <c r="I15" s="27">
        <f t="shared" si="0"/>
        <v>2400</v>
      </c>
      <c r="J15" s="27"/>
    </row>
    <row r="16" spans="1:12" ht="16.8" customHeight="1" x14ac:dyDescent="0.4">
      <c r="A16" s="26" t="s">
        <v>62</v>
      </c>
      <c r="B16" s="23">
        <v>1</v>
      </c>
      <c r="C16" s="7">
        <v>34500</v>
      </c>
      <c r="D16" s="1" t="s">
        <v>72</v>
      </c>
      <c r="E16" s="1" t="s">
        <v>73</v>
      </c>
      <c r="F16" s="5" t="s">
        <v>74</v>
      </c>
      <c r="H16">
        <v>38900</v>
      </c>
      <c r="I16" s="27">
        <f t="shared" si="0"/>
        <v>4400</v>
      </c>
      <c r="J16" s="27"/>
      <c r="L16" t="s">
        <v>81</v>
      </c>
    </row>
    <row r="17" spans="1:10" ht="16.8" customHeight="1" x14ac:dyDescent="0.4">
      <c r="A17" s="26" t="s">
        <v>62</v>
      </c>
      <c r="B17" s="23">
        <v>1</v>
      </c>
      <c r="C17" s="7">
        <v>34500</v>
      </c>
      <c r="D17" s="1" t="s">
        <v>79</v>
      </c>
      <c r="E17" s="1" t="s">
        <v>80</v>
      </c>
      <c r="F17" s="5" t="s">
        <v>78</v>
      </c>
      <c r="H17">
        <v>38900</v>
      </c>
      <c r="I17" s="27">
        <f t="shared" si="0"/>
        <v>4400</v>
      </c>
      <c r="J17" s="27"/>
    </row>
    <row r="18" spans="1:10" x14ac:dyDescent="0.4">
      <c r="A18" s="12"/>
      <c r="B18" s="13"/>
      <c r="C18" s="13"/>
      <c r="D18" s="14"/>
      <c r="E18" s="14"/>
      <c r="F18" s="15"/>
      <c r="I18" s="27">
        <f t="shared" ref="I18:I23" si="1">H18-C18</f>
        <v>0</v>
      </c>
      <c r="J18" s="27"/>
    </row>
    <row r="19" spans="1:10" x14ac:dyDescent="0.4">
      <c r="A19" s="12"/>
      <c r="B19" s="13"/>
      <c r="C19" s="13"/>
      <c r="D19" s="14"/>
      <c r="E19" s="14"/>
      <c r="F19" s="15"/>
      <c r="I19" s="27">
        <f t="shared" si="1"/>
        <v>0</v>
      </c>
      <c r="J19" s="27"/>
    </row>
    <row r="20" spans="1:10" x14ac:dyDescent="0.4">
      <c r="A20" s="12"/>
      <c r="B20" s="13"/>
      <c r="C20" s="13"/>
      <c r="D20" s="14"/>
      <c r="E20" s="14"/>
      <c r="F20" s="15"/>
      <c r="I20" s="27">
        <f t="shared" si="1"/>
        <v>0</v>
      </c>
      <c r="J20" s="27"/>
    </row>
    <row r="21" spans="1:10" x14ac:dyDescent="0.4">
      <c r="A21" s="12"/>
      <c r="B21" s="13"/>
      <c r="C21" s="13"/>
      <c r="D21" s="14"/>
      <c r="E21" s="14"/>
      <c r="F21" s="15"/>
      <c r="I21" s="27">
        <f t="shared" si="1"/>
        <v>0</v>
      </c>
      <c r="J21" s="27"/>
    </row>
    <row r="22" spans="1:10" ht="18" thickBot="1" x14ac:dyDescent="0.45">
      <c r="A22" s="16"/>
      <c r="B22" s="17"/>
      <c r="C22" s="18"/>
      <c r="D22" s="17"/>
      <c r="E22" s="17"/>
      <c r="F22" s="19"/>
      <c r="I22" s="27">
        <f t="shared" si="1"/>
        <v>0</v>
      </c>
      <c r="J22" s="27"/>
    </row>
    <row r="23" spans="1:10" ht="18.600000000000001" thickTop="1" thickBot="1" x14ac:dyDescent="0.45">
      <c r="A23" s="8" t="s">
        <v>3</v>
      </c>
      <c r="B23" s="9">
        <f t="shared" ref="B23:C23" si="2">SUM(B11:B22)</f>
        <v>7</v>
      </c>
      <c r="C23" s="9">
        <f t="shared" si="2"/>
        <v>241500</v>
      </c>
      <c r="D23" s="10" t="s">
        <v>22</v>
      </c>
      <c r="E23" s="10" t="s">
        <v>22</v>
      </c>
      <c r="F23" s="11" t="s">
        <v>22</v>
      </c>
      <c r="I23" s="27">
        <f t="shared" si="1"/>
        <v>-241500</v>
      </c>
      <c r="J23" s="27"/>
    </row>
    <row r="24" spans="1:10" x14ac:dyDescent="0.4">
      <c r="A24" s="2"/>
      <c r="B24" s="2"/>
      <c r="C24" s="2"/>
      <c r="D24" s="2"/>
      <c r="E24" s="2"/>
      <c r="F24" s="2"/>
    </row>
    <row r="25" spans="1:10" x14ac:dyDescent="0.4">
      <c r="A25" s="33"/>
      <c r="B25" s="33"/>
      <c r="C25" s="33"/>
      <c r="D25" s="33"/>
      <c r="E25" s="33"/>
      <c r="F25" s="33"/>
    </row>
    <row r="26" spans="1:10" x14ac:dyDescent="0.4">
      <c r="A26" s="30" t="s">
        <v>4</v>
      </c>
      <c r="B26" s="30"/>
      <c r="C26" s="30"/>
      <c r="D26" s="30"/>
      <c r="E26" s="30"/>
      <c r="F26" s="30"/>
    </row>
    <row r="28" spans="1:10" ht="21" x14ac:dyDescent="0.45">
      <c r="A28" s="28" t="s">
        <v>19</v>
      </c>
      <c r="B28" s="28"/>
      <c r="C28" s="28"/>
      <c r="D28" s="28"/>
      <c r="E28" s="28"/>
      <c r="F28" s="28"/>
    </row>
  </sheetData>
  <mergeCells count="12">
    <mergeCell ref="A28:F28"/>
    <mergeCell ref="A1:F1"/>
    <mergeCell ref="A2:F2"/>
    <mergeCell ref="E3:F3"/>
    <mergeCell ref="E4:F4"/>
    <mergeCell ref="E5:F5"/>
    <mergeCell ref="E6:F6"/>
    <mergeCell ref="A7:F7"/>
    <mergeCell ref="A8:F8"/>
    <mergeCell ref="A9:F9"/>
    <mergeCell ref="A25:F25"/>
    <mergeCell ref="A26:F26"/>
  </mergeCells>
  <phoneticPr fontId="2" type="noConversion"/>
  <pageMargins left="0.75" right="0.75" top="1" bottom="1" header="0.5" footer="0.5"/>
  <pageSetup paperSize="9" scale="77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C7629-DC41-4E43-ACDC-A50278127EDF}">
  <sheetPr>
    <pageSetUpPr fitToPage="1"/>
  </sheetPr>
  <dimension ref="A1:L28"/>
  <sheetViews>
    <sheetView tabSelected="1" view="pageBreakPreview" zoomScaleNormal="100" zoomScaleSheetLayoutView="100" workbookViewId="0">
      <selection activeCell="A6" sqref="A6"/>
    </sheetView>
  </sheetViews>
  <sheetFormatPr defaultRowHeight="17.399999999999999" x14ac:dyDescent="0.4"/>
  <cols>
    <col min="1" max="1" width="57.59765625" customWidth="1"/>
    <col min="2" max="2" width="8" customWidth="1"/>
    <col min="3" max="3" width="13.19921875" customWidth="1"/>
    <col min="4" max="5" width="15" customWidth="1"/>
    <col min="6" max="6" width="58.5" bestFit="1" customWidth="1"/>
    <col min="9" max="9" width="8.796875" customWidth="1"/>
    <col min="10" max="10" width="1.3984375" customWidth="1"/>
  </cols>
  <sheetData>
    <row r="1" spans="1:12" ht="33" x14ac:dyDescent="0.4">
      <c r="A1" s="29" t="s">
        <v>0</v>
      </c>
      <c r="B1" s="29"/>
      <c r="C1" s="29"/>
      <c r="D1" s="29"/>
      <c r="E1" s="29"/>
      <c r="F1" s="29"/>
    </row>
    <row r="2" spans="1:12" x14ac:dyDescent="0.4">
      <c r="A2" s="31"/>
      <c r="B2" s="33"/>
      <c r="C2" s="33"/>
      <c r="D2" s="33"/>
      <c r="E2" s="33"/>
      <c r="F2" s="33"/>
    </row>
    <row r="3" spans="1:12" x14ac:dyDescent="0.4">
      <c r="A3" s="3" t="s">
        <v>82</v>
      </c>
      <c r="B3" s="4"/>
      <c r="C3" s="4"/>
      <c r="D3" s="4" t="s">
        <v>25</v>
      </c>
      <c r="E3" s="32" t="s">
        <v>26</v>
      </c>
      <c r="F3" s="32"/>
    </row>
    <row r="4" spans="1:12" x14ac:dyDescent="0.4">
      <c r="A4" s="4" t="s">
        <v>5</v>
      </c>
      <c r="B4" s="4"/>
      <c r="C4" s="4"/>
      <c r="D4" s="4" t="s">
        <v>23</v>
      </c>
      <c r="E4" s="32" t="s">
        <v>27</v>
      </c>
      <c r="F4" s="32"/>
    </row>
    <row r="5" spans="1:12" x14ac:dyDescent="0.4">
      <c r="A5" s="4" t="s">
        <v>20</v>
      </c>
      <c r="B5" s="4"/>
      <c r="C5" s="4"/>
      <c r="D5" s="4" t="s">
        <v>24</v>
      </c>
      <c r="E5" s="32" t="s">
        <v>28</v>
      </c>
      <c r="F5" s="32"/>
    </row>
    <row r="6" spans="1:12" x14ac:dyDescent="0.4">
      <c r="A6" s="4" t="s">
        <v>6</v>
      </c>
      <c r="B6" s="4"/>
      <c r="C6" s="4"/>
      <c r="D6" s="4" t="s">
        <v>7</v>
      </c>
      <c r="E6" s="32" t="s">
        <v>29</v>
      </c>
      <c r="F6" s="32"/>
    </row>
    <row r="7" spans="1:12" x14ac:dyDescent="0.4">
      <c r="A7" s="30"/>
      <c r="B7" s="30"/>
      <c r="C7" s="30"/>
      <c r="D7" s="30"/>
      <c r="E7" s="30"/>
      <c r="F7" s="30"/>
    </row>
    <row r="8" spans="1:12" x14ac:dyDescent="0.4">
      <c r="A8" s="34" t="s">
        <v>1</v>
      </c>
      <c r="B8" s="34"/>
      <c r="C8" s="34"/>
      <c r="D8" s="34"/>
      <c r="E8" s="34"/>
      <c r="F8" s="34"/>
    </row>
    <row r="9" spans="1:12" ht="18" thickBot="1" x14ac:dyDescent="0.45">
      <c r="A9" s="31"/>
      <c r="B9" s="31"/>
      <c r="C9" s="31"/>
      <c r="D9" s="31"/>
      <c r="E9" s="31"/>
      <c r="F9" s="31"/>
    </row>
    <row r="10" spans="1:12" x14ac:dyDescent="0.4">
      <c r="A10" s="20" t="s">
        <v>2</v>
      </c>
      <c r="B10" s="21" t="s">
        <v>8</v>
      </c>
      <c r="C10" s="21" t="s">
        <v>21</v>
      </c>
      <c r="D10" s="21" t="s">
        <v>9</v>
      </c>
      <c r="E10" s="21" t="s">
        <v>13</v>
      </c>
      <c r="F10" s="22" t="s">
        <v>10</v>
      </c>
    </row>
    <row r="11" spans="1:12" x14ac:dyDescent="0.4">
      <c r="A11" s="26" t="s">
        <v>83</v>
      </c>
      <c r="B11" s="7">
        <v>1</v>
      </c>
      <c r="C11" s="7">
        <v>34500</v>
      </c>
      <c r="D11" s="1" t="s">
        <v>86</v>
      </c>
      <c r="E11" s="1" t="s">
        <v>85</v>
      </c>
      <c r="F11" s="5" t="s">
        <v>84</v>
      </c>
      <c r="H11">
        <v>36900</v>
      </c>
      <c r="I11" s="27">
        <f>H11-C11</f>
        <v>2400</v>
      </c>
      <c r="J11" s="27"/>
      <c r="K11" s="24" t="s">
        <v>52</v>
      </c>
      <c r="L11" s="24" t="s">
        <v>53</v>
      </c>
    </row>
    <row r="12" spans="1:12" x14ac:dyDescent="0.4">
      <c r="A12" s="26"/>
      <c r="B12" s="7"/>
      <c r="C12" s="7"/>
      <c r="D12" s="1"/>
      <c r="E12" s="1"/>
      <c r="F12" s="5"/>
      <c r="H12">
        <v>36900</v>
      </c>
      <c r="I12" s="27">
        <f t="shared" ref="I12:I23" si="0">H12-C12</f>
        <v>36900</v>
      </c>
      <c r="J12" s="27"/>
      <c r="K12" s="24"/>
      <c r="L12" s="24"/>
    </row>
    <row r="13" spans="1:12" x14ac:dyDescent="0.4">
      <c r="A13" s="26"/>
      <c r="B13" s="23"/>
      <c r="C13" s="7"/>
      <c r="D13" s="1"/>
      <c r="E13" s="1"/>
      <c r="F13" s="5"/>
      <c r="H13">
        <v>36900</v>
      </c>
      <c r="I13" s="27">
        <f t="shared" si="0"/>
        <v>36900</v>
      </c>
      <c r="J13" s="27"/>
      <c r="K13" s="25" t="s">
        <v>54</v>
      </c>
      <c r="L13" s="25" t="s">
        <v>55</v>
      </c>
    </row>
    <row r="14" spans="1:12" x14ac:dyDescent="0.4">
      <c r="A14" s="26"/>
      <c r="B14" s="23"/>
      <c r="C14" s="7"/>
      <c r="D14" s="1"/>
      <c r="E14" s="1"/>
      <c r="F14" s="5"/>
      <c r="H14">
        <v>36900</v>
      </c>
      <c r="I14" s="27">
        <f t="shared" si="0"/>
        <v>36900</v>
      </c>
      <c r="J14" s="27"/>
      <c r="K14" s="25" t="s">
        <v>56</v>
      </c>
      <c r="L14" s="25" t="s">
        <v>57</v>
      </c>
    </row>
    <row r="15" spans="1:12" ht="16.8" customHeight="1" x14ac:dyDescent="0.4">
      <c r="A15" s="26"/>
      <c r="B15" s="23"/>
      <c r="C15" s="7"/>
      <c r="D15" s="1"/>
      <c r="E15" s="1"/>
      <c r="F15" s="5"/>
      <c r="H15">
        <v>36900</v>
      </c>
      <c r="I15" s="27">
        <f t="shared" si="0"/>
        <v>36900</v>
      </c>
      <c r="J15" s="27"/>
    </row>
    <row r="16" spans="1:12" ht="16.8" customHeight="1" x14ac:dyDescent="0.4">
      <c r="A16" s="26"/>
      <c r="B16" s="23"/>
      <c r="C16" s="7"/>
      <c r="D16" s="1"/>
      <c r="E16" s="1"/>
      <c r="F16" s="5"/>
      <c r="H16">
        <v>38900</v>
      </c>
      <c r="I16" s="27">
        <f t="shared" si="0"/>
        <v>38900</v>
      </c>
      <c r="J16" s="27"/>
      <c r="L16" t="s">
        <v>81</v>
      </c>
    </row>
    <row r="17" spans="1:10" ht="16.8" customHeight="1" x14ac:dyDescent="0.4">
      <c r="A17" s="26"/>
      <c r="B17" s="23"/>
      <c r="C17" s="7"/>
      <c r="D17" s="1"/>
      <c r="E17" s="1"/>
      <c r="F17" s="5"/>
      <c r="H17">
        <v>38900</v>
      </c>
      <c r="I17" s="27">
        <f t="shared" si="0"/>
        <v>38900</v>
      </c>
      <c r="J17" s="27"/>
    </row>
    <row r="18" spans="1:10" x14ac:dyDescent="0.4">
      <c r="A18" s="12"/>
      <c r="B18" s="13"/>
      <c r="C18" s="13"/>
      <c r="D18" s="14"/>
      <c r="E18" s="14"/>
      <c r="F18" s="15"/>
      <c r="I18" s="27">
        <f t="shared" si="0"/>
        <v>0</v>
      </c>
      <c r="J18" s="27"/>
    </row>
    <row r="19" spans="1:10" x14ac:dyDescent="0.4">
      <c r="A19" s="12"/>
      <c r="B19" s="13"/>
      <c r="C19" s="13"/>
      <c r="D19" s="14"/>
      <c r="E19" s="14"/>
      <c r="F19" s="15"/>
      <c r="I19" s="27">
        <f t="shared" si="0"/>
        <v>0</v>
      </c>
      <c r="J19" s="27"/>
    </row>
    <row r="20" spans="1:10" x14ac:dyDescent="0.4">
      <c r="A20" s="12"/>
      <c r="B20" s="13"/>
      <c r="C20" s="13"/>
      <c r="D20" s="14"/>
      <c r="E20" s="14"/>
      <c r="F20" s="15"/>
      <c r="I20" s="27">
        <f t="shared" si="0"/>
        <v>0</v>
      </c>
      <c r="J20" s="27"/>
    </row>
    <row r="21" spans="1:10" x14ac:dyDescent="0.4">
      <c r="A21" s="12"/>
      <c r="B21" s="13"/>
      <c r="C21" s="13"/>
      <c r="D21" s="14"/>
      <c r="E21" s="14"/>
      <c r="F21" s="15"/>
      <c r="I21" s="27">
        <f t="shared" si="0"/>
        <v>0</v>
      </c>
      <c r="J21" s="27"/>
    </row>
    <row r="22" spans="1:10" ht="18" thickBot="1" x14ac:dyDescent="0.45">
      <c r="A22" s="16"/>
      <c r="B22" s="17"/>
      <c r="C22" s="18"/>
      <c r="D22" s="17"/>
      <c r="E22" s="17"/>
      <c r="F22" s="19"/>
      <c r="I22" s="27">
        <f t="shared" si="0"/>
        <v>0</v>
      </c>
      <c r="J22" s="27"/>
    </row>
    <row r="23" spans="1:10" ht="18.600000000000001" thickTop="1" thickBot="1" x14ac:dyDescent="0.45">
      <c r="A23" s="8" t="s">
        <v>3</v>
      </c>
      <c r="B23" s="9">
        <f t="shared" ref="B23:C23" si="1">SUM(B11:B22)</f>
        <v>1</v>
      </c>
      <c r="C23" s="9">
        <f t="shared" si="1"/>
        <v>34500</v>
      </c>
      <c r="D23" s="10" t="s">
        <v>22</v>
      </c>
      <c r="E23" s="10" t="s">
        <v>22</v>
      </c>
      <c r="F23" s="11" t="s">
        <v>22</v>
      </c>
      <c r="I23" s="27">
        <f t="shared" si="0"/>
        <v>-34500</v>
      </c>
      <c r="J23" s="27"/>
    </row>
    <row r="24" spans="1:10" x14ac:dyDescent="0.4">
      <c r="A24" s="2"/>
      <c r="B24" s="2"/>
      <c r="C24" s="2"/>
      <c r="D24" s="2"/>
      <c r="E24" s="2"/>
      <c r="F24" s="2"/>
    </row>
    <row r="25" spans="1:10" x14ac:dyDescent="0.4">
      <c r="A25" s="33"/>
      <c r="B25" s="33"/>
      <c r="C25" s="33"/>
      <c r="D25" s="33"/>
      <c r="E25" s="33"/>
      <c r="F25" s="33"/>
    </row>
    <row r="26" spans="1:10" x14ac:dyDescent="0.4">
      <c r="A26" s="30" t="s">
        <v>4</v>
      </c>
      <c r="B26" s="30"/>
      <c r="C26" s="30"/>
      <c r="D26" s="30"/>
      <c r="E26" s="30"/>
      <c r="F26" s="30"/>
    </row>
    <row r="28" spans="1:10" ht="21" x14ac:dyDescent="0.45">
      <c r="A28" s="28" t="s">
        <v>19</v>
      </c>
      <c r="B28" s="28"/>
      <c r="C28" s="28"/>
      <c r="D28" s="28"/>
      <c r="E28" s="28"/>
      <c r="F28" s="28"/>
    </row>
  </sheetData>
  <mergeCells count="12">
    <mergeCell ref="A7:F7"/>
    <mergeCell ref="A8:F8"/>
    <mergeCell ref="A9:F9"/>
    <mergeCell ref="A25:F25"/>
    <mergeCell ref="A26:F26"/>
    <mergeCell ref="A28:F28"/>
    <mergeCell ref="A1:F1"/>
    <mergeCell ref="A2:F2"/>
    <mergeCell ref="E3:F3"/>
    <mergeCell ref="E4:F4"/>
    <mergeCell ref="E5:F5"/>
    <mergeCell ref="E6:F6"/>
  </mergeCells>
  <phoneticPr fontId="2" type="noConversion"/>
  <pageMargins left="0.75" right="0.75" top="1" bottom="1" header="0.5" footer="0.5"/>
  <pageSetup paperSize="9" scale="7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5</vt:i4>
      </vt:variant>
    </vt:vector>
  </HeadingPairs>
  <TitlesOfParts>
    <vt:vector size="10" baseType="lpstr">
      <vt:lpstr>250922</vt:lpstr>
      <vt:lpstr>250926</vt:lpstr>
      <vt:lpstr>250928</vt:lpstr>
      <vt:lpstr>251012</vt:lpstr>
      <vt:lpstr>251016</vt:lpstr>
      <vt:lpstr>'250922'!Print_Area</vt:lpstr>
      <vt:lpstr>'250926'!Print_Area</vt:lpstr>
      <vt:lpstr>'250928'!Print_Area</vt:lpstr>
      <vt:lpstr>'251012'!Print_Area</vt:lpstr>
      <vt:lpstr>'251016'!Print_Area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Dongkyu Kim</cp:lastModifiedBy>
  <cp:lastPrinted>2025-10-12T10:51:40Z</cp:lastPrinted>
  <dcterms:created xsi:type="dcterms:W3CDTF">2025-09-21T13:57:29Z</dcterms:created>
  <dcterms:modified xsi:type="dcterms:W3CDTF">2025-10-16T21:57:49Z</dcterms:modified>
</cp:coreProperties>
</file>