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십채\"/>
    </mc:Choice>
  </mc:AlternateContent>
  <xr:revisionPtr revIDLastSave="0" documentId="13_ncr:1_{445C2C28-20D5-44E6-82E4-5FBFE347A3F6}" xr6:coauthVersionLast="47" xr6:coauthVersionMax="47" xr10:uidLastSave="{00000000-0000-0000-0000-000000000000}"/>
  <bookViews>
    <workbookView xWindow="28680" yWindow="-120" windowWidth="29040" windowHeight="15720" xr2:uid="{1967EA44-4178-4EF6-87B8-77C2707D6B55}"/>
  </bookViews>
  <sheets>
    <sheet name="마진계산기" sheetId="1" r:id="rId1"/>
    <sheet name="업체내역" sheetId="6" r:id="rId2"/>
    <sheet name="소싱리스트" sheetId="2" r:id="rId3"/>
    <sheet name="소싱응대법" sheetId="3" r:id="rId4"/>
    <sheet name="입력" sheetId="4" r:id="rId5"/>
    <sheet name="메시지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M5" i="1"/>
  <c r="M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  <c r="C4" i="5"/>
  <c r="H5" i="6"/>
  <c r="H18" i="6"/>
  <c r="H8" i="6"/>
  <c r="H9" i="6"/>
  <c r="H10" i="6"/>
  <c r="H11" i="6"/>
  <c r="H12" i="6"/>
  <c r="H13" i="6"/>
  <c r="H14" i="6"/>
  <c r="H15" i="6"/>
  <c r="H16" i="6"/>
  <c r="H17" i="6"/>
  <c r="H7" i="6"/>
  <c r="H6" i="6"/>
  <c r="H4" i="6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B4" i="5"/>
  <c r="C3" i="5"/>
  <c r="B3" i="5"/>
  <c r="C2" i="5"/>
  <c r="B2" i="5"/>
  <c r="J6" i="1"/>
  <c r="G6" i="1"/>
  <c r="J5" i="1"/>
  <c r="G5" i="1"/>
  <c r="J4" i="1"/>
  <c r="G4" i="1"/>
</calcChain>
</file>

<file path=xl/sharedStrings.xml><?xml version="1.0" encoding="utf-8"?>
<sst xmlns="http://schemas.openxmlformats.org/spreadsheetml/2006/main" count="512" uniqueCount="189">
  <si>
    <t>제품명</t>
    <phoneticPr fontId="1" type="noConversion"/>
  </si>
  <si>
    <t>스펙</t>
    <phoneticPr fontId="1" type="noConversion"/>
  </si>
  <si>
    <t>공급가</t>
    <phoneticPr fontId="1" type="noConversion"/>
  </si>
  <si>
    <t>택배비</t>
    <phoneticPr fontId="1" type="noConversion"/>
  </si>
  <si>
    <t>판매가</t>
    <phoneticPr fontId="1" type="noConversion"/>
  </si>
  <si>
    <t>옵션</t>
    <phoneticPr fontId="1" type="noConversion"/>
  </si>
  <si>
    <t>구 분</t>
    <phoneticPr fontId="1" type="noConversion"/>
  </si>
  <si>
    <t>소싱처(URL)</t>
    <phoneticPr fontId="1" type="noConversion"/>
  </si>
  <si>
    <t>판매가(경쟁사)</t>
    <phoneticPr fontId="1" type="noConversion"/>
  </si>
  <si>
    <t>마진액</t>
    <phoneticPr fontId="1" type="noConversion"/>
  </si>
  <si>
    <t>▣ 소싱리스트</t>
    <phoneticPr fontId="1" type="noConversion"/>
  </si>
  <si>
    <t>▣ 마진 계산기</t>
    <phoneticPr fontId="1" type="noConversion"/>
  </si>
  <si>
    <t>직접 담근 된장, 고추장, 간장, 메주</t>
  </si>
  <si>
    <t>보리굴비,영광굴비</t>
  </si>
  <si>
    <t>대게, 홍게 등 고가 수산물</t>
  </si>
  <si>
    <t>한우 정육, 한우 구이, 양갈비</t>
  </si>
  <si>
    <t>수제 청, 잼 (딸기잼, 유자청, 매실청 등)</t>
  </si>
  <si>
    <t>젓갈류(명란젓, 창란젓, 갈치젓, 꼴뚜기젓, 오징어젓, 낙지젓 등), 게장류(여수돌게장,암꽃게장 등 마트에서 잘 못 구하는 희귀한 것들)</t>
  </si>
  <si>
    <t>김치류 3kg, 5kg 단위 (배추김치, 깍두기, 열무김치, 파김치)</t>
  </si>
  <si>
    <t>햇고구마, 햇밤, 고구마말랭이</t>
  </si>
  <si>
    <t>말린 국산 고추, 2025년 햇고춧가루  (8월 이후부터 나오기 시작)</t>
  </si>
  <si>
    <t>통마늘, 생강, 자색양파 요리용, 김장용 (11월부터 판매)</t>
  </si>
  <si>
    <t>곶감, 감말랭이, 각종 국산 말린과일</t>
  </si>
  <si>
    <t>참기름, 들기름</t>
  </si>
  <si>
    <t>떡(냉동해도 맛있는 떡류 - 인절미, 약과, 강정, 쑥인절미)</t>
  </si>
  <si>
    <t>건강즙 (포도즙, 사과즙, abc주스, 양파즙, 양배추즙, 흑염소진액, 우슬즙 등)</t>
  </si>
  <si>
    <t>배도라지청, 수세미즙(기관지 건강)</t>
  </si>
  <si>
    <t>한약재 (결명자, 삼백초, 귤껍질, 오미자, 국산말린 쑥, 건조칡, 쇠무릎(우슬뿌리), 박하차, 야관문차, 옥수수 속대, 개다래 열매)</t>
  </si>
  <si>
    <t>그 외 브랜드를 타지 않는 제품 중, “떨이" 성격이 강하다면 무난하게 잘 팔림 - 충동구매를 유도</t>
  </si>
  <si>
    <t>-유아동 의류, 신발 (사이즈가 단순함, 가격 싸면 쟁여두는 육아맘 진짜 많음)</t>
  </si>
  <si>
    <t>-떨이 세제, 주방세제, 섬유유연제 (특히 아기거면 더 좋음)</t>
  </si>
  <si>
    <t>-떨이 과일, 못난이 과일 (가락시장이나 과일시장에서 떨이만 소싱할 수 있어야 해서 까다로움)</t>
  </si>
  <si>
    <t>-떨이 가전 (브랜드 안유명한거)</t>
  </si>
  <si>
    <t>-실제로 떨이가 아니라도 떨이처럼 스토리 만들면 됨</t>
  </si>
  <si>
    <t>구분</t>
    <phoneticPr fontId="1" type="noConversion"/>
  </si>
  <si>
    <t>▣ 소싱 응대법</t>
    <phoneticPr fontId="1" type="noConversion"/>
  </si>
  <si>
    <t>2.네이버 스마트스토어, 쿠팡 등 오픈마켓 판매자 : </t>
  </si>
  <si>
    <t xml:space="preserve"> - 전화해서 바로 문의</t>
    <phoneticPr fontId="1" type="noConversion"/>
  </si>
  <si>
    <t>▶ 위탁 판매시 제조사에 전할 메시지 문구 (혹은 통화 대사)</t>
    <phoneticPr fontId="1" type="noConversion"/>
  </si>
  <si>
    <t>1.농산물 카페, 도매처</t>
    <phoneticPr fontId="1" type="noConversion"/>
  </si>
  <si>
    <t xml:space="preserve"> - 제조원에 직접 연락하거나, 판매자가 생산자로 보이는 경우 네이버 톡톡 문의로 먼저 문의, 톡톡에 하루 동안 답 없으면 </t>
    <phoneticPr fontId="1" type="noConversion"/>
  </si>
  <si>
    <t xml:space="preserve">   바로 전화로 문의하기</t>
    <phoneticPr fontId="1" type="noConversion"/>
  </si>
  <si>
    <t>첫 문구 : “안녕하세요, 저희는 현재 폐쇄몰에서 양배추즙, 양파즙 상품으로 월 2천만원 정도의 매출을 내고 있습니다.</t>
    <phoneticPr fontId="1" type="noConversion"/>
  </si>
  <si>
    <t xml:space="preserve">             이번에 새롭게 포도즙을 위탁판매 해 보고 싶은데 혹시 위탁판매 거래 하시나요?” </t>
    <phoneticPr fontId="1" type="noConversion"/>
  </si>
  <si>
    <t>폐쇄몰이 어디인데요?</t>
  </si>
  <si>
    <t xml:space="preserve">: “광교, 천안, 세종, 용인 지역의 아파트 단톡방을 운영하고 있고요. 식품군을 돌아가면서 소개하면서 판매하고 있습니다.” </t>
    <phoneticPr fontId="1" type="noConversion"/>
  </si>
  <si>
    <t xml:space="preserve">  (당근마켓임을 밝히지 않는 게 좋음)</t>
    <phoneticPr fontId="1" type="noConversion"/>
  </si>
  <si>
    <t>거래 조건이 어떻게 되는데요?</t>
  </si>
  <si>
    <t>: “저희가 일주일에 2-3일 정도 주문건 모아서 카톡으로 드리면, 거기에 발송해 주시면 되는 조건입니다. 결제는 발송 당일에 바로 해 드립니다.”</t>
    <phoneticPr fontId="1" type="noConversion"/>
  </si>
  <si>
    <t>한달에 몇 개나 나가는데요?</t>
  </si>
  <si>
    <t>이건 초반에 저희도 홍보를 열심히 해 봐야 알 수 있습니다. 1-2개월 차에는 한달에 몇십개정도 일 수도 있는데, 입소문 나면 금방 늘어납니다.”</t>
    <phoneticPr fontId="1" type="noConversion"/>
  </si>
  <si>
    <t>그때 제가 스티커랑 박스 보내 드리면, 그때부터 붙여서 나가 주시면 됩니다.”</t>
    <phoneticPr fontId="1" type="noConversion"/>
  </si>
  <si>
    <t>저희가 보내던 상태 그대로 보내면 돼요?</t>
    <phoneticPr fontId="1" type="noConversion"/>
  </si>
  <si>
    <t xml:space="preserve">“물론 스티커나 브랜드 표시가 된 걸 빼고 보내주시면 제일 좋지만, 처음에 좀 껄끄러우시면 일주일에 물량 20개 이상 나가게 되면 </t>
    <phoneticPr fontId="1" type="noConversion"/>
  </si>
  <si>
    <t>반품이나 그런 건 어떡해요?</t>
  </si>
  <si>
    <t>“사장님 거래 조건에 따르겠습니다.”</t>
  </si>
  <si>
    <t>이 경우, 반품 조건에 대해 미리 거래처와 조율을 해 두는 게 좋음. 수령 후 1일 내에 바로 상품 사진을 전송한다든지)</t>
  </si>
  <si>
    <t>그럼 가격을 제가 메일로 줄게요. 명함 하나 문자로 보내 봐 주세요.</t>
  </si>
  <si>
    <t>“네 사장님 제가 문자로 명함 하나 보내 놓겠습니다. 위탁판매 단가표 전달 주세요.”</t>
  </si>
  <si>
    <t xml:space="preserve">“저희도 이 상품이 처음이라 반응을 봐야 겠지만, 이전에 잘 된 상품들은 월에 4-5천만원씩은 꾸준히 팔렸습니다. </t>
    <phoneticPr fontId="1" type="noConversion"/>
  </si>
  <si>
    <t xml:space="preserve">(당근은 반품이 0%에 가까움. 단, 신선식품은 배송시 상품이 깨질 수 있음. </t>
    <phoneticPr fontId="1" type="noConversion"/>
  </si>
  <si>
    <t xml:space="preserve">-변기, 하수구 뚫는 대행 </t>
  </si>
  <si>
    <r>
      <t>-에어컨설치/청소</t>
    </r>
    <r>
      <rPr>
        <i/>
        <sz val="12"/>
        <color rgb="FF000000"/>
        <rFont val="맑은 고딕"/>
        <family val="3"/>
        <charset val="129"/>
        <scheme val="major"/>
      </rPr>
      <t xml:space="preserve"> : 후기 모음 콘텐츠, 가장 저렴한 단가, 꼼꼼한 작업</t>
    </r>
  </si>
  <si>
    <r>
      <t>-인테리어 수리</t>
    </r>
    <r>
      <rPr>
        <i/>
        <sz val="12"/>
        <color rgb="FF000000"/>
        <rFont val="맑은 고딕"/>
        <family val="3"/>
        <charset val="129"/>
        <scheme val="major"/>
      </rPr>
      <t>:오래된 타일, 싱크대, 수전 교체 등</t>
    </r>
  </si>
  <si>
    <r>
      <t xml:space="preserve">-천장 실링펜 구매+설치 : </t>
    </r>
    <r>
      <rPr>
        <i/>
        <sz val="12"/>
        <color rgb="FF000000"/>
        <rFont val="맑은 고딕"/>
        <family val="3"/>
        <charset val="129"/>
        <scheme val="major"/>
      </rPr>
      <t>테무에서 실링펜 구매, 설치기사 소싱</t>
    </r>
  </si>
  <si>
    <r>
      <t>-집 대청소,정리,짐 버리기 작업</t>
    </r>
    <r>
      <rPr>
        <i/>
        <sz val="12"/>
        <color rgb="FF000000"/>
        <rFont val="맑은 고딕"/>
        <family val="3"/>
        <charset val="129"/>
        <scheme val="major"/>
      </rPr>
      <t xml:space="preserve"> : before&amp;after 수기 형식 콘텐츠</t>
    </r>
  </si>
  <si>
    <r>
      <t xml:space="preserve">-영어유치원 상담 </t>
    </r>
    <r>
      <rPr>
        <i/>
        <sz val="12"/>
        <color rgb="FF000000"/>
        <rFont val="맑은 고딕"/>
        <family val="3"/>
        <charset val="129"/>
        <scheme val="major"/>
      </rPr>
      <t> : 체험, 생각보다 싸다, 생각보다 놀이 형식이다</t>
    </r>
  </si>
  <si>
    <r>
      <t>-피부관리샵, 산후마사지사</t>
    </r>
    <r>
      <rPr>
        <i/>
        <sz val="12"/>
        <color rgb="FF000000"/>
        <rFont val="맑은 고딕"/>
        <family val="3"/>
        <charset val="129"/>
        <scheme val="major"/>
      </rPr>
      <t xml:space="preserve"> : before&amp;after, 체험 쿠폰</t>
    </r>
  </si>
  <si>
    <r>
      <t xml:space="preserve">-체형교정센터(아이들 키크는 문제, 자세 교정 문제) </t>
    </r>
    <r>
      <rPr>
        <i/>
        <sz val="12"/>
        <color rgb="FF000000"/>
        <rFont val="맑은 고딕"/>
        <family val="3"/>
        <charset val="129"/>
        <scheme val="major"/>
      </rPr>
      <t>: before&amp;after, 할인 쿠폰</t>
    </r>
  </si>
  <si>
    <t>※ 가정 관련 서비스</t>
    <phoneticPr fontId="1" type="noConversion"/>
  </si>
  <si>
    <r>
      <t xml:space="preserve">1. </t>
    </r>
    <r>
      <rPr>
        <sz val="13"/>
        <color rgb="FF000000"/>
        <rFont val="맑은 고딕"/>
        <family val="3"/>
        <charset val="129"/>
        <scheme val="minor"/>
      </rPr>
      <t>30~60대 남,녀 모두가 찾을 만한 서비스</t>
    </r>
  </si>
  <si>
    <r>
      <t xml:space="preserve">2. </t>
    </r>
    <r>
      <rPr>
        <sz val="13"/>
        <color rgb="FF000000"/>
        <rFont val="맑은 고딕"/>
        <family val="3"/>
        <charset val="129"/>
        <scheme val="minor"/>
      </rPr>
      <t>기술자를 구하기 어렵지만, 모든 가정에 필요할 만한 서비스면 좋다 (숨고, 크몽 생각보다 안씀)</t>
    </r>
  </si>
  <si>
    <r>
      <t>3.</t>
    </r>
    <r>
      <rPr>
        <sz val="13"/>
        <color rgb="FF000000"/>
        <rFont val="맑은 고딕"/>
        <family val="3"/>
        <charset val="129"/>
        <scheme val="minor"/>
      </rPr>
      <t>시즌성을 고려하면 더 좋다 (6~7월 에어컨 청소 및 설치, 실링펜 설치, 봄철 대청소, 입주청소, 신학기 영어유치원 상담)</t>
    </r>
  </si>
  <si>
    <t>(충동구매 구조이므로, 내가 필요 없더라도 가족을 위해 구매함)</t>
  </si>
  <si>
    <r>
      <t xml:space="preserve">1. </t>
    </r>
    <r>
      <rPr>
        <sz val="12"/>
        <color rgb="FF000000"/>
        <rFont val="맑은 고딕"/>
        <family val="3"/>
        <charset val="129"/>
        <scheme val="minor"/>
      </rPr>
      <t>40~70대 여성이 살 만 한 상품들</t>
    </r>
  </si>
  <si>
    <r>
      <t xml:space="preserve">2. </t>
    </r>
    <r>
      <rPr>
        <sz val="12"/>
        <color rgb="FF000000"/>
        <rFont val="맑은 고딕"/>
        <family val="3"/>
        <charset val="129"/>
        <scheme val="minor"/>
      </rPr>
      <t>온가족이 소비할 수 있는 상품</t>
    </r>
  </si>
  <si>
    <r>
      <t>3.</t>
    </r>
    <r>
      <rPr>
        <sz val="12"/>
        <color rgb="FF000000"/>
        <rFont val="맑은 고딕"/>
        <family val="3"/>
        <charset val="129"/>
        <scheme val="minor"/>
      </rPr>
      <t>몇 개를 사도 보관에 부담이 없는 상품</t>
    </r>
  </si>
  <si>
    <t>※ 당근에서 잘 팔리는 상품</t>
    <phoneticPr fontId="1" type="noConversion"/>
  </si>
  <si>
    <t>1.네이버 식품 도매 카페</t>
  </si>
  <si>
    <t>2.네이버 스마트스토어</t>
  </si>
  <si>
    <t>키워드 검색 - ‘쇼핑 탭' 이동 - '가격' 필터에서 상한가 설정하기(보통 1페이지에 보이는 가격 중 최저가를 상한가로 설정) 단위별 최저가 상품을 먼저 찾고, 최저가 중에서 소구점에 부합하는 상품을 걸러냄</t>
  </si>
  <si>
    <t>(양배추즙의 경우, ‘양배추즙 100포'로 검색하면 좀 더 취저가 찾기 쉬움)</t>
  </si>
  <si>
    <t>3.재래시장, 주변 지인, 친척</t>
  </si>
  <si>
    <t>산지도매센터 https://www.santafarmer.com/</t>
  </si>
  <si>
    <t>농라 https://cafe.naver.com/tlsxh</t>
  </si>
  <si>
    <t>삼시세끼 https://cafe.naver.com/1dsp7</t>
  </si>
  <si>
    <t>식품제조 https://cafe.naver.com/food2008</t>
  </si>
  <si>
    <t>셀러오션 '도매위탁' 게시판 https://cafe.naver.com/f-e/cafes/10094408/menus/291?viewType=L</t>
  </si>
  <si>
    <t>g당 단가</t>
    <phoneticPr fontId="1" type="noConversion"/>
  </si>
  <si>
    <t>https://smartstore.naver.com/shui100/products/5362272922?NaPm=ct%3Dmfe0yav4%7Cci%3Df159493d71ac32d99c782eaeccea834cfd79c336%7Ctr%3Dslsl%7Csn%3D1007797%7Chk%3D882f4dc2833ca8fba7956ed547afded3df83778e&amp;nl-au=9a4ba3d23164439195941d2dc777cc8e&amp;nl-query=%EB%AA%BB%EB%82%9C%EC%9D%B4+%EA%B3%A0%EA%B5%AC%EB%A7%88</t>
  </si>
  <si>
    <t>경쟁사</t>
    <phoneticPr fontId="1" type="noConversion"/>
  </si>
  <si>
    <t>소싱처</t>
    <phoneticPr fontId="1" type="noConversion"/>
  </si>
  <si>
    <t xml:space="preserve">응용: </t>
    <phoneticPr fontId="1" type="noConversion"/>
  </si>
  <si>
    <t>아기엄마, 40~70대가 단골로 겪는 건강 문제, 고민과 관련된 상품 혹은 서비스</t>
  </si>
  <si>
    <t xml:space="preserve"> - 어깨,손목,무릎 등 관절 통증</t>
    <phoneticPr fontId="1" type="noConversion"/>
  </si>
  <si>
    <t xml:space="preserve"> - 두피 질환, 머리 냄새(청소년), 노인 모발 힘없음, 피부 기미 관리, 내성발톱 풋케어  (before &amp; after) </t>
    <phoneticPr fontId="1" type="noConversion"/>
  </si>
  <si>
    <t xml:space="preserve"> - 수면 문제, 시력 저하, 고혈압 및 혈당, 근육 감소, 소화 기능 저하, 기력 저하 등</t>
    <phoneticPr fontId="1" type="noConversion"/>
  </si>
  <si>
    <t xml:space="preserve"> - 산후 마사지, 임산부 마사지, 출장 마사지 연결</t>
    <phoneticPr fontId="1" type="noConversion"/>
  </si>
  <si>
    <t xml:space="preserve">   위의 고민들에 효과가 있는 식품군 (영양제는 안되고, 민간요법과 관련된 차, 즙, 티백 등)</t>
    <phoneticPr fontId="1" type="noConversion"/>
  </si>
  <si>
    <t xml:space="preserve">   혹은 10회 이상 관리를 받게 되는 관리 서비스 (동네 샵에 문의하여 마케팅 대행 진행)</t>
    <phoneticPr fontId="1" type="noConversion"/>
  </si>
  <si>
    <t>아이템, 서비스에 대한 판매 아이디어 얻는 법</t>
  </si>
  <si>
    <t>동네 업체를 2시간 정도 동네별로 쭉 둘러보고, 그 중에 후기/문의가 많은 업체들을 둘러 보면 아이디어를 얻는 데 도움이 됨</t>
  </si>
  <si>
    <r>
      <t xml:space="preserve">링크 : </t>
    </r>
    <r>
      <rPr>
        <u/>
        <sz val="11"/>
        <color theme="10"/>
        <rFont val="맑은 고딕"/>
        <family val="3"/>
        <charset val="129"/>
        <scheme val="minor"/>
      </rPr>
      <t>https://www.daangn.com/kr/local-profile/?in=%EC%84%9C%EC%B4%88%EB%8F%99-6128</t>
    </r>
  </si>
  <si>
    <t>(서초동으로 선택해 둔 상태, 여러분의 동네나 둘러보고 싶은 동네로 선택해서 보세요)</t>
  </si>
  <si>
    <t>소싱규칙</t>
  </si>
  <si>
    <r>
      <t xml:space="preserve"> 1. </t>
    </r>
    <r>
      <rPr>
        <b/>
        <sz val="16"/>
        <color rgb="FF000000"/>
        <rFont val="맑은 고딕"/>
        <family val="3"/>
        <charset val="129"/>
      </rPr>
      <t>최저가</t>
    </r>
    <r>
      <rPr>
        <b/>
        <sz val="16"/>
        <color rgb="FF000000"/>
        <rFont val="Arial"/>
        <family val="2"/>
      </rPr>
      <t xml:space="preserve"> (</t>
    </r>
    <r>
      <rPr>
        <b/>
        <sz val="16"/>
        <color rgb="FF000000"/>
        <rFont val="맑은 고딕"/>
        <family val="3"/>
        <charset val="129"/>
      </rPr>
      <t>가격만큼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강한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소구점은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없음</t>
    </r>
    <r>
      <rPr>
        <b/>
        <sz val="16"/>
        <color rgb="FF000000"/>
        <rFont val="Arial"/>
        <family val="2"/>
      </rPr>
      <t>)</t>
    </r>
    <phoneticPr fontId="1" type="noConversion"/>
  </si>
  <si>
    <r>
      <t xml:space="preserve"> 2. </t>
    </r>
    <r>
      <rPr>
        <b/>
        <sz val="16"/>
        <color rgb="FF000000"/>
        <rFont val="맑은 고딕"/>
        <family val="3"/>
        <charset val="129"/>
      </rPr>
      <t>당장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다음주에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팔릴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만한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상품</t>
    </r>
    <r>
      <rPr>
        <b/>
        <sz val="16"/>
        <color rgb="FF000000"/>
        <rFont val="Arial"/>
        <family val="2"/>
      </rPr>
      <t xml:space="preserve"> (9</t>
    </r>
    <r>
      <rPr>
        <b/>
        <sz val="16"/>
        <color rgb="FF000000"/>
        <rFont val="맑은 고딕"/>
        <family val="3"/>
        <charset val="129"/>
      </rPr>
      <t>월엔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추석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선물</t>
    </r>
    <r>
      <rPr>
        <b/>
        <sz val="16"/>
        <color rgb="FF000000"/>
        <rFont val="Arial"/>
        <family val="2"/>
      </rPr>
      <t xml:space="preserve">, </t>
    </r>
    <r>
      <rPr>
        <b/>
        <sz val="16"/>
        <color rgb="FF000000"/>
        <rFont val="맑은 고딕"/>
        <family val="3"/>
        <charset val="129"/>
      </rPr>
      <t>추석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제수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준비</t>
    </r>
    <r>
      <rPr>
        <b/>
        <sz val="16"/>
        <color rgb="FF000000"/>
        <rFont val="Arial"/>
        <family val="2"/>
      </rPr>
      <t xml:space="preserve">, </t>
    </r>
    <r>
      <rPr>
        <b/>
        <sz val="16"/>
        <color rgb="FF000000"/>
        <rFont val="맑은 고딕"/>
        <family val="3"/>
        <charset val="129"/>
      </rPr>
      <t>여행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준비</t>
    </r>
    <r>
      <rPr>
        <b/>
        <sz val="16"/>
        <color rgb="FF000000"/>
        <rFont val="Arial"/>
        <family val="2"/>
      </rPr>
      <t xml:space="preserve">, </t>
    </r>
    <r>
      <rPr>
        <b/>
        <sz val="16"/>
        <color rgb="FF000000"/>
        <rFont val="맑은 고딕"/>
        <family val="3"/>
        <charset val="129"/>
      </rPr>
      <t>겨울엔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김장관련</t>
    </r>
    <r>
      <rPr>
        <b/>
        <sz val="16"/>
        <color rgb="FF000000"/>
        <rFont val="Arial"/>
        <family val="2"/>
      </rPr>
      <t xml:space="preserve">, </t>
    </r>
    <r>
      <rPr>
        <b/>
        <sz val="16"/>
        <color rgb="FF000000"/>
        <rFont val="맑은 고딕"/>
        <family val="3"/>
        <charset val="129"/>
      </rPr>
      <t>고구마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등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겨울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간식</t>
    </r>
    <r>
      <rPr>
        <b/>
        <sz val="16"/>
        <color rgb="FF000000"/>
        <rFont val="Arial"/>
        <family val="2"/>
      </rPr>
      <t>)</t>
    </r>
    <phoneticPr fontId="1" type="noConversion"/>
  </si>
  <si>
    <r>
      <t xml:space="preserve"> 3. </t>
    </r>
    <r>
      <rPr>
        <b/>
        <sz val="16"/>
        <color rgb="FF000000"/>
        <rFont val="맑은 고딕"/>
        <family val="3"/>
        <charset val="129"/>
      </rPr>
      <t>위탁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판매가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가능해야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함</t>
    </r>
    <r>
      <rPr>
        <b/>
        <sz val="16"/>
        <color rgb="FF000000"/>
        <rFont val="Arial"/>
        <family val="2"/>
      </rPr>
      <t xml:space="preserve"> (</t>
    </r>
    <r>
      <rPr>
        <b/>
        <sz val="16"/>
        <color rgb="FF000000"/>
        <rFont val="맑은 고딕"/>
        <family val="3"/>
        <charset val="129"/>
      </rPr>
      <t>내가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미리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사서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집에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둔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후에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손님에게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보내야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한다면</t>
    </r>
    <r>
      <rPr>
        <b/>
        <sz val="16"/>
        <color rgb="FF000000"/>
        <rFont val="Arial"/>
        <family val="2"/>
      </rPr>
      <t xml:space="preserve"> X)</t>
    </r>
    <phoneticPr fontId="1" type="noConversion"/>
  </si>
  <si>
    <r>
      <t xml:space="preserve"> 4. </t>
    </r>
    <r>
      <rPr>
        <b/>
        <sz val="16"/>
        <color rgb="FF000000"/>
        <rFont val="맑은 고딕"/>
        <family val="3"/>
        <charset val="129"/>
      </rPr>
      <t>원래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상표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제거</t>
    </r>
    <r>
      <rPr>
        <b/>
        <sz val="16"/>
        <color rgb="FF000000"/>
        <rFont val="Arial"/>
        <family val="2"/>
      </rPr>
      <t xml:space="preserve">, </t>
    </r>
    <r>
      <rPr>
        <b/>
        <sz val="16"/>
        <color rgb="FF000000"/>
        <rFont val="맑은 고딕"/>
        <family val="3"/>
        <charset val="129"/>
      </rPr>
      <t>스티커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부착</t>
    </r>
    <r>
      <rPr>
        <b/>
        <sz val="16"/>
        <color rgb="FF000000"/>
        <rFont val="Arial"/>
        <family val="2"/>
      </rPr>
      <t xml:space="preserve">, </t>
    </r>
    <r>
      <rPr>
        <b/>
        <sz val="16"/>
        <color rgb="FF000000"/>
        <rFont val="맑은 고딕"/>
        <family val="3"/>
        <charset val="129"/>
      </rPr>
      <t>박스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교체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등이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가능한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게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좋음</t>
    </r>
    <r>
      <rPr>
        <b/>
        <sz val="16"/>
        <color rgb="FF000000"/>
        <rFont val="Arial"/>
        <family val="2"/>
      </rPr>
      <t>(</t>
    </r>
    <r>
      <rPr>
        <b/>
        <sz val="16"/>
        <color rgb="FF000000"/>
        <rFont val="맑은 고딕"/>
        <family val="3"/>
        <charset val="129"/>
      </rPr>
      <t>안되면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어쩔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수</t>
    </r>
    <r>
      <rPr>
        <b/>
        <sz val="16"/>
        <color rgb="FF000000"/>
        <rFont val="Arial"/>
        <family val="2"/>
      </rPr>
      <t xml:space="preserve"> </t>
    </r>
    <r>
      <rPr>
        <b/>
        <sz val="16"/>
        <color rgb="FF000000"/>
        <rFont val="맑은 고딕"/>
        <family val="3"/>
        <charset val="129"/>
      </rPr>
      <t>없음</t>
    </r>
    <r>
      <rPr>
        <b/>
        <sz val="16"/>
        <color rgb="FF000000"/>
        <rFont val="Arial"/>
        <family val="2"/>
      </rPr>
      <t>)</t>
    </r>
    <phoneticPr fontId="1" type="noConversion"/>
  </si>
  <si>
    <t>안녕하세요, 사장님.
저희는 현재 서울,수도권 폐쇄몰에서 신선식품으로 월 3천만원 정도의 매출을 내고 있는 업체입니다. 다름이 아니라, 이번에 새롭게 된장을 판매해 보고 싶어 문의를 드리게 되었습니다. 혹시 위탁판매로도 거래가 가능하실까요?</t>
    <phoneticPr fontId="1" type="noConversion"/>
  </si>
  <si>
    <t>안녕하세요, 사장님.</t>
  </si>
  <si>
    <t xml:space="preserve">혹시 위탁 판매 협의가 가능하시다면, 조건이나 방식에 대해 편하게 말씀 부탁드립니다.  </t>
  </si>
  <si>
    <t>감사합니다.</t>
  </si>
  <si>
    <t xml:space="preserve">안녕하세요, 사장님. 저희는 서울·수도권 폐쇄몰에서 신선식품을 판매하며 월 3천만 원 수준의 매출을 꾸준히 내고 있는 업체입니다. 이번에 전통 장류(특히 된장) 카테고리를 새롭게 확장하고자 하여, 사장님의 제품을 저희 판매 채널에 위탁 형태로 입점할 수 있을지 문의드리고자 합니다. </t>
    <phoneticPr fontId="1" type="noConversion"/>
  </si>
  <si>
    <t xml:space="preserve">저희 쪽에서 상품 상세 제작, 마케팅, 고객 응대까지 모두 진행하기 때문에 사장님께서는 별도의 비용이나 리스크 없이 안정적으로 매출 확대 효과를 보실 수 있습니다. </t>
    <phoneticPr fontId="1" type="noConversion"/>
  </si>
  <si>
    <t>편하게 회신 주시면 감사하겠습니다.</t>
  </si>
  <si>
    <t>저희는 위탁 형태로 제품을 공급받아</t>
  </si>
  <si>
    <t>상품 상세 제작, 온라인 채널 노출, 마케팅 및 고객 응대까지</t>
  </si>
  <si>
    <t>혹시 위탁 판매 협의가 가능하시다면,</t>
  </si>
  <si>
    <t xml:space="preserve">조건이나 방식에 대해 편하게 말씀 부탁드리겠습니다.  </t>
  </si>
  <si>
    <t>저희는 서울·수도권 폐쇄몰에서 다양한 제품을 판매하며</t>
  </si>
  <si>
    <t xml:space="preserve">월 약 3천만 원 수준의 매출을 내고 있는 업체입니다.  </t>
  </si>
  <si>
    <t xml:space="preserve">이번에 ○○(제품 카테고리) 쪽으로 판매 영역을 확장하려 하는데, </t>
  </si>
  <si>
    <t xml:space="preserve">혹시 위탁 판매 형태로 협업이 가능하실까요?  </t>
  </si>
  <si>
    <t>사장님께서는 별도 부담 없이 매출 확대 효과를 보실 수 있도록</t>
  </si>
  <si>
    <t xml:space="preserve">저희가 마케팅과 고객 응대를 맡겠습니다.  </t>
  </si>
  <si>
    <t xml:space="preserve">월 3천만 원 이상 매출을 꾸준히 기록하고 있는 업체입니다.  </t>
  </si>
  <si>
    <t>최근 고객 데이터를 분석해 본 결과,</t>
  </si>
  <si>
    <t>○○(제품 카테고리) 관련 수요가 증가하고 있어</t>
  </si>
  <si>
    <t xml:space="preserve">이번에 해당 카테고리 상품을 새롭게 확장하고자 합니다.  </t>
  </si>
  <si>
    <t>모두 진행하기 때문에, 사장님께서는</t>
  </si>
  <si>
    <t xml:space="preserve">추가 비용이나 리스크 부담 없이 안정적인 매출 확대를 기대하실 수 있습니다.  </t>
  </si>
  <si>
    <t>번호</t>
  </si>
  <si>
    <t>업체명(선택)</t>
  </si>
  <si>
    <t>담당자 호칭</t>
  </si>
  <si>
    <t>제품 카테고리</t>
  </si>
  <si>
    <t>판매채널</t>
  </si>
  <si>
    <t>월 매출(만원)</t>
  </si>
  <si>
    <t>사장님</t>
  </si>
  <si>
    <t>된장</t>
    <phoneticPr fontId="32" type="noConversion"/>
  </si>
  <si>
    <t>서울·수도권 폐쇄몰</t>
  </si>
  <si>
    <t>○○(제품 카테고리)</t>
  </si>
  <si>
    <t>사용법</t>
  </si>
  <si>
    <t>각 행에 호칭, 제품 카테고리, 판매채널, 월 매출(만원)을 입력하면 '메시지' 시트에 자동 생성됩니다. 줄바꿈 포함 복사 사용 가능.</t>
  </si>
  <si>
    <t>팁</t>
  </si>
  <si>
    <t>제품 카테고리 예: 주방용품/생활잡화/텀블러/기능성 양말 등 | 판매채널 예: 서울·수도권 폐쇄몰/스마트스토어/자체몰/라이브커머스</t>
  </si>
  <si>
    <t>짧은 버전 (톡톡/카톡용)</t>
  </si>
  <si>
    <t>상세 버전 (메일/제안서용)</t>
  </si>
  <si>
    <t>블루셀럽</t>
    <phoneticPr fontId="1" type="noConversion"/>
  </si>
  <si>
    <t>고구마</t>
    <phoneticPr fontId="1" type="noConversion"/>
  </si>
  <si>
    <t>"인천, 김포, 부천"지역에서 아파트 단톡방을 통해서 운영하고 있습니다! 그래서 보통 일주일에 2~3일 정도 주문건을 모아서 말씀드리면, 발송을 해주시는 형태로 운영 중에 있습니다^^</t>
  </si>
  <si>
    <t>민속된장</t>
    <phoneticPr fontId="1" type="noConversion"/>
  </si>
  <si>
    <t>1.500g</t>
    <phoneticPr fontId="1" type="noConversion"/>
  </si>
  <si>
    <t>소싱날짜</t>
    <phoneticPr fontId="1" type="noConversion"/>
  </si>
  <si>
    <t>소싱업체명</t>
    <phoneticPr fontId="1" type="noConversion"/>
  </si>
  <si>
    <t>연락처</t>
    <phoneticPr fontId="1" type="noConversion"/>
  </si>
  <si>
    <t>메일주소</t>
    <phoneticPr fontId="1" type="noConversion"/>
  </si>
  <si>
    <t>01027996145</t>
    <phoneticPr fontId="1" type="noConversion"/>
  </si>
  <si>
    <t>rsh6145@naver.com</t>
    <phoneticPr fontId="1" type="noConversion"/>
  </si>
  <si>
    <t>주문서 전달방식</t>
    <phoneticPr fontId="1" type="noConversion"/>
  </si>
  <si>
    <t>메일전달</t>
    <phoneticPr fontId="1" type="noConversion"/>
  </si>
  <si>
    <t>▣ 소싱업체 리스트</t>
    <phoneticPr fontId="1" type="noConversion"/>
  </si>
  <si>
    <t>당근 업로드</t>
    <phoneticPr fontId="1" type="noConversion"/>
  </si>
  <si>
    <t>X</t>
    <phoneticPr fontId="1" type="noConversion"/>
  </si>
  <si>
    <t>게시판 종류</t>
    <phoneticPr fontId="1" type="noConversion"/>
  </si>
  <si>
    <t>동네글</t>
    <phoneticPr fontId="1" type="noConversion"/>
  </si>
  <si>
    <t>URL</t>
    <phoneticPr fontId="1" type="noConversion"/>
  </si>
  <si>
    <t>https://www.santafarmer.com/Goods/Detail/SFR50550325</t>
  </si>
  <si>
    <t>산지도매센터</t>
    <phoneticPr fontId="1" type="noConversion"/>
  </si>
  <si>
    <t>난각번호1번</t>
    <phoneticPr fontId="1" type="noConversion"/>
  </si>
  <si>
    <t>20구</t>
    <phoneticPr fontId="1" type="noConversion"/>
  </si>
  <si>
    <t>홈페이지 참조</t>
    <phoneticPr fontId="1" type="noConversion"/>
  </si>
  <si>
    <t>홈페이지 구매</t>
    <phoneticPr fontId="1" type="noConversion"/>
  </si>
  <si>
    <t>1668-2790</t>
    <phoneticPr fontId="1" type="noConversion"/>
  </si>
  <si>
    <t>https://smartstore.naver.com/soybean1004</t>
  </si>
  <si>
    <t>오색건강원</t>
    <phoneticPr fontId="1" type="noConversion"/>
  </si>
  <si>
    <t>우슬즙</t>
    <phoneticPr fontId="1" type="noConversion"/>
  </si>
  <si>
    <t>오색건강원</t>
    <phoneticPr fontId="32" type="noConversion"/>
  </si>
  <si>
    <t>야관문</t>
    <phoneticPr fontId="1" type="noConversion"/>
  </si>
  <si>
    <t>구매전환비</t>
    <phoneticPr fontId="1" type="noConversion"/>
  </si>
  <si>
    <t>순애할매</t>
    <phoneticPr fontId="1" type="noConversion"/>
  </si>
  <si>
    <t>1000g</t>
    <phoneticPr fontId="1" type="noConversion"/>
  </si>
  <si>
    <t>오디즙 (황토뽕농장)</t>
    <phoneticPr fontId="1" type="noConversion"/>
  </si>
  <si>
    <t>100m</t>
    <phoneticPr fontId="1" type="noConversion"/>
  </si>
  <si>
    <t>30팩</t>
    <phoneticPr fontId="1" type="noConversion"/>
  </si>
  <si>
    <t>https://smartstore.naver.com/myodi/products/4897842803#REVIEW</t>
    <phoneticPr fontId="1" type="noConversion"/>
  </si>
  <si>
    <t>양파즙(맛뜰무안)</t>
    <phoneticPr fontId="1" type="noConversion"/>
  </si>
  <si>
    <t>양배추즙(맛뜰무안)</t>
    <phoneticPr fontId="1" type="noConversion"/>
  </si>
  <si>
    <t>https://muanshop.com/index.html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</si>
</sst>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/&quot;d;@"/>
  </numFmts>
  <fonts count="3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i/>
      <sz val="12"/>
      <color rgb="FF000000"/>
      <name val="맑은 고딕"/>
      <family val="3"/>
      <charset val="129"/>
      <scheme val="major"/>
    </font>
    <font>
      <b/>
      <sz val="13"/>
      <color rgb="FF00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  <font>
      <u/>
      <sz val="12"/>
      <color theme="1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b/>
      <sz val="16"/>
      <color rgb="FF000000"/>
      <name val="Arial"/>
      <family val="2"/>
    </font>
    <font>
      <sz val="13.95"/>
      <color rgb="FF000000"/>
      <name val="Arial"/>
      <family val="2"/>
    </font>
    <font>
      <u/>
      <sz val="11"/>
      <color theme="10"/>
      <name val="맑은 고딕"/>
      <family val="3"/>
      <charset val="129"/>
      <scheme val="minor"/>
    </font>
    <font>
      <b/>
      <sz val="20"/>
      <color rgb="FF000000"/>
      <name val="Arial"/>
      <family val="2"/>
    </font>
    <font>
      <b/>
      <sz val="16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1E1E2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FEFEF"/>
        <bgColor rgb="FFEFEFEF"/>
      </patternFill>
    </fill>
  </fills>
  <borders count="21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hair">
        <color auto="1"/>
      </right>
      <top style="medium">
        <color auto="1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30" fillId="0" borderId="0"/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9" fillId="0" borderId="0" xfId="0" applyFont="1">
      <alignment vertical="center"/>
    </xf>
    <xf numFmtId="0" fontId="19" fillId="0" borderId="0" xfId="2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20" fillId="4" borderId="2" xfId="1" applyFont="1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20" fillId="4" borderId="5" xfId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41" fontId="0" fillId="0" borderId="0" xfId="1" applyFont="1" applyBorder="1" applyAlignment="1">
      <alignment vertical="center"/>
    </xf>
    <xf numFmtId="41" fontId="0" fillId="2" borderId="10" xfId="1" applyFont="1" applyFill="1" applyBorder="1" applyAlignment="1">
      <alignment horizontal="center" vertical="center"/>
    </xf>
    <xf numFmtId="41" fontId="20" fillId="4" borderId="10" xfId="1" applyFont="1" applyFill="1" applyBorder="1" applyAlignment="1">
      <alignment horizontal="center" vertical="center"/>
    </xf>
    <xf numFmtId="41" fontId="4" fillId="3" borderId="10" xfId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41" fontId="4" fillId="3" borderId="5" xfId="1" applyFont="1" applyFill="1" applyBorder="1" applyAlignment="1">
      <alignment horizontal="center" vertical="center"/>
    </xf>
    <xf numFmtId="41" fontId="4" fillId="3" borderId="2" xfId="1" applyFont="1" applyFill="1" applyBorder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0" fontId="12" fillId="0" borderId="3" xfId="0" applyFont="1" applyBorder="1">
      <alignment vertical="center"/>
    </xf>
    <xf numFmtId="0" fontId="13" fillId="0" borderId="3" xfId="0" applyFont="1" applyBorder="1">
      <alignment vertical="center"/>
    </xf>
    <xf numFmtId="0" fontId="0" fillId="0" borderId="1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2" fillId="0" borderId="4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1" fillId="3" borderId="3" xfId="0" applyFont="1" applyFill="1" applyBorder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18" fillId="0" borderId="0" xfId="0" applyFont="1">
      <alignment vertical="center"/>
    </xf>
    <xf numFmtId="0" fontId="3" fillId="0" borderId="0" xfId="2">
      <alignment vertical="center"/>
    </xf>
    <xf numFmtId="0" fontId="28" fillId="0" borderId="0" xfId="0" applyFont="1">
      <alignment vertical="center"/>
    </xf>
    <xf numFmtId="0" fontId="25" fillId="3" borderId="0" xfId="0" applyFont="1" applyFill="1">
      <alignment vertical="center"/>
    </xf>
    <xf numFmtId="0" fontId="24" fillId="3" borderId="0" xfId="0" applyFont="1" applyFill="1">
      <alignment vertical="center"/>
    </xf>
    <xf numFmtId="0" fontId="0" fillId="3" borderId="0" xfId="0" applyFill="1">
      <alignment vertical="center"/>
    </xf>
    <xf numFmtId="41" fontId="0" fillId="5" borderId="10" xfId="1" applyFont="1" applyFill="1" applyBorder="1" applyAlignment="1">
      <alignment horizontal="center" vertical="center"/>
    </xf>
    <xf numFmtId="41" fontId="0" fillId="6" borderId="10" xfId="1" applyFont="1" applyFill="1" applyBorder="1" applyAlignment="1">
      <alignment horizontal="center" vertical="center"/>
    </xf>
    <xf numFmtId="0" fontId="11" fillId="3" borderId="6" xfId="0" applyFont="1" applyFill="1" applyBorder="1">
      <alignment vertical="center"/>
    </xf>
    <xf numFmtId="0" fontId="31" fillId="7" borderId="17" xfId="3" applyFont="1" applyFill="1" applyBorder="1" applyAlignment="1">
      <alignment horizontal="center" vertical="center"/>
    </xf>
    <xf numFmtId="0" fontId="30" fillId="0" borderId="0" xfId="3"/>
    <xf numFmtId="0" fontId="30" fillId="0" borderId="17" xfId="3" applyBorder="1"/>
    <xf numFmtId="0" fontId="30" fillId="0" borderId="17" xfId="3" applyBorder="1" applyAlignment="1">
      <alignment horizontal="center" vertical="center"/>
    </xf>
    <xf numFmtId="0" fontId="30" fillId="0" borderId="17" xfId="3" applyBorder="1" applyAlignment="1">
      <alignment vertical="top" wrapText="1"/>
    </xf>
    <xf numFmtId="0" fontId="33" fillId="0" borderId="0" xfId="0" applyFont="1">
      <alignment vertical="center"/>
    </xf>
    <xf numFmtId="0" fontId="0" fillId="2" borderId="18" xfId="0" applyFill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41" fontId="4" fillId="0" borderId="2" xfId="1" applyFont="1" applyFill="1" applyBorder="1">
      <alignment vertical="center"/>
    </xf>
    <xf numFmtId="49" fontId="34" fillId="0" borderId="5" xfId="1" applyNumberFormat="1" applyFont="1" applyFill="1" applyBorder="1" applyAlignment="1">
      <alignment horizontal="center" vertical="center"/>
    </xf>
    <xf numFmtId="41" fontId="0" fillId="5" borderId="8" xfId="1" applyFont="1" applyFill="1" applyBorder="1" applyAlignment="1">
      <alignment horizontal="center" vertical="center"/>
    </xf>
    <xf numFmtId="41" fontId="4" fillId="3" borderId="8" xfId="1" applyFont="1" applyFill="1" applyBorder="1" applyAlignment="1">
      <alignment horizontal="center" vertical="center"/>
    </xf>
    <xf numFmtId="41" fontId="34" fillId="6" borderId="8" xfId="1" applyFont="1" applyFill="1" applyBorder="1" applyAlignment="1">
      <alignment horizontal="center" vertical="center"/>
    </xf>
    <xf numFmtId="41" fontId="4" fillId="3" borderId="9" xfId="1" applyFont="1" applyFill="1" applyBorder="1" applyAlignment="1">
      <alignment horizontal="center" vertical="center"/>
    </xf>
    <xf numFmtId="41" fontId="4" fillId="3" borderId="6" xfId="1" applyFont="1" applyFill="1" applyBorder="1" applyAlignment="1">
      <alignment horizontal="center" vertical="center"/>
    </xf>
    <xf numFmtId="0" fontId="3" fillId="0" borderId="6" xfId="2" applyBorder="1" applyAlignment="1">
      <alignment vertical="center"/>
    </xf>
    <xf numFmtId="0" fontId="3" fillId="0" borderId="3" xfId="2" applyBorder="1" applyAlignment="1">
      <alignment vertical="center"/>
    </xf>
    <xf numFmtId="41" fontId="4" fillId="3" borderId="3" xfId="1" applyFont="1" applyFill="1" applyBorder="1" applyAlignment="1">
      <alignment horizontal="center" vertical="center"/>
    </xf>
    <xf numFmtId="41" fontId="6" fillId="0" borderId="2" xfId="1" applyFont="1" applyFill="1" applyBorder="1" applyAlignment="1">
      <alignment horizontal="center" vertical="center"/>
    </xf>
    <xf numFmtId="49" fontId="6" fillId="0" borderId="2" xfId="1" applyNumberFormat="1" applyFont="1" applyFill="1" applyBorder="1" applyAlignment="1">
      <alignment horizontal="center" vertical="center"/>
    </xf>
    <xf numFmtId="49" fontId="4" fillId="0" borderId="2" xfId="1" applyNumberFormat="1" applyFont="1" applyFill="1" applyBorder="1">
      <alignment vertical="center"/>
    </xf>
    <xf numFmtId="49" fontId="0" fillId="0" borderId="0" xfId="0" applyNumberFormat="1">
      <alignment vertical="center"/>
    </xf>
    <xf numFmtId="41" fontId="3" fillId="0" borderId="5" xfId="2" applyNumberFormat="1" applyFill="1" applyBorder="1" applyAlignment="1">
      <alignment horizontal="center" vertical="center"/>
    </xf>
    <xf numFmtId="0" fontId="35" fillId="0" borderId="0" xfId="0" applyFont="1">
      <alignment vertical="center"/>
    </xf>
    <xf numFmtId="41" fontId="20" fillId="4" borderId="11" xfId="1" applyFont="1" applyFill="1" applyBorder="1" applyAlignment="1">
      <alignment horizontal="center" vertical="center"/>
    </xf>
    <xf numFmtId="41" fontId="20" fillId="4" borderId="12" xfId="1" applyFont="1" applyFill="1" applyBorder="1" applyAlignment="1">
      <alignment horizontal="center" vertical="center"/>
    </xf>
    <xf numFmtId="41" fontId="4" fillId="3" borderId="11" xfId="1" applyFont="1" applyFill="1" applyBorder="1" applyAlignment="1">
      <alignment horizontal="center" vertical="center"/>
    </xf>
    <xf numFmtId="41" fontId="4" fillId="3" borderId="14" xfId="1" applyFont="1" applyFill="1" applyBorder="1" applyAlignment="1">
      <alignment horizontal="center" vertical="center"/>
    </xf>
    <xf numFmtId="41" fontId="4" fillId="3" borderId="12" xfId="1" applyFont="1" applyFill="1" applyBorder="1" applyAlignment="1">
      <alignment horizontal="center" vertical="center"/>
    </xf>
    <xf numFmtId="0" fontId="3" fillId="0" borderId="3" xfId="2" applyBorder="1">
      <alignment vertical="center"/>
    </xf>
  </cellXfs>
  <cellStyles count="4">
    <cellStyle name="쉼표 [0]" xfId="1" builtinId="6"/>
    <cellStyle name="표준" xfId="0" builtinId="0"/>
    <cellStyle name="표준 2" xfId="3" xr:uid="{AF3A838C-F7C1-4C2B-8A20-3DCD1B057636}"/>
    <cellStyle name="하이퍼링크" xfId="2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artstore.naver.com/myodi/products/4897842803" TargetMode="External"/><Relationship Id="rId2" Type="http://schemas.openxmlformats.org/officeDocument/2006/relationships/hyperlink" Target="https://smartstore.naver.com/soybean1004" TargetMode="External"/><Relationship Id="rId1" Type="http://schemas.openxmlformats.org/officeDocument/2006/relationships/hyperlink" Target="https://smartstore.naver.com/shui100/products/5362272922?NaPm=ct%3Dmfe0yav4%7Cci%3Df159493d71ac32d99c782eaeccea834cfd79c336%7Ctr%3Dslsl%7Csn%3D1007797%7Chk%3D882f4dc2833ca8fba7956ed547afded3df83778e&amp;nl-au=9a4ba3d23164439195941d2dc777cc8e&amp;nl-query=%EB%AA%BB%EB%82%9C%EC%9D%B4+%EA%B3%A0%EA%B5%AC%EB%A7%88" TargetMode="External"/><Relationship Id="rId5" Type="http://schemas.openxmlformats.org/officeDocument/2006/relationships/hyperlink" Target="https://muanshop.com/index.html" TargetMode="External"/><Relationship Id="rId4" Type="http://schemas.openxmlformats.org/officeDocument/2006/relationships/hyperlink" Target="https://muanshop.com/index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martstore.naver.com/soybean1004" TargetMode="External"/><Relationship Id="rId2" Type="http://schemas.openxmlformats.org/officeDocument/2006/relationships/hyperlink" Target="https://www.santafarmer.com/Goods/Detail/SFR50550325" TargetMode="External"/><Relationship Id="rId1" Type="http://schemas.openxmlformats.org/officeDocument/2006/relationships/hyperlink" Target="mailto:rsh6145@naver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afe.naver.com/1dsp7" TargetMode="External"/><Relationship Id="rId2" Type="http://schemas.openxmlformats.org/officeDocument/2006/relationships/hyperlink" Target="https://cafe.naver.com/tlsxh" TargetMode="External"/><Relationship Id="rId1" Type="http://schemas.openxmlformats.org/officeDocument/2006/relationships/hyperlink" Target="https://www.santafarmer.com/" TargetMode="External"/><Relationship Id="rId6" Type="http://schemas.openxmlformats.org/officeDocument/2006/relationships/hyperlink" Target="https://www.daangn.com/kr/local-profile/?in=%EC%84%9C%EC%B4%88%EB%8F%99-6128" TargetMode="External"/><Relationship Id="rId5" Type="http://schemas.openxmlformats.org/officeDocument/2006/relationships/hyperlink" Target="https://cafe.naver.com/f-e/cafes/10094408/menus/291?viewType=L" TargetMode="External"/><Relationship Id="rId4" Type="http://schemas.openxmlformats.org/officeDocument/2006/relationships/hyperlink" Target="https://cafe.naver.com/food2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86AC-7458-4941-BAE3-E580A48BF027}">
  <dimension ref="A1:N23"/>
  <sheetViews>
    <sheetView tabSelected="1" zoomScale="85" zoomScaleNormal="85" workbookViewId="0">
      <selection activeCell="P13" sqref="P13"/>
    </sheetView>
  </sheetViews>
  <sheetFormatPr defaultRowHeight="17.399999999999999" x14ac:dyDescent="0.4"/>
  <cols>
    <col min="1" max="1" width="5.3984375" style="18" customWidth="1"/>
    <col min="2" max="2" width="8.69921875" style="70" bestFit="1" customWidth="1"/>
    <col min="3" max="3" width="23.8984375" style="19" customWidth="1"/>
    <col min="4" max="4" width="8.5" style="19" customWidth="1"/>
    <col min="5" max="5" width="12.296875" style="19" bestFit="1" customWidth="1"/>
    <col min="6" max="6" width="15" style="21" bestFit="1" customWidth="1"/>
    <col min="7" max="7" width="12" style="22" customWidth="1"/>
    <col min="8" max="8" width="13.69921875" style="21" customWidth="1"/>
    <col min="9" max="9" width="15.3984375" style="21" customWidth="1"/>
    <col min="10" max="10" width="9.8984375" style="35" bestFit="1" customWidth="1"/>
    <col min="11" max="12" width="11.09765625" style="21" customWidth="1"/>
    <col min="13" max="13" width="12.69921875" style="21" customWidth="1"/>
    <col min="14" max="14" width="28.8984375" style="23" customWidth="1"/>
  </cols>
  <sheetData>
    <row r="1" spans="1:14" ht="25.2" x14ac:dyDescent="0.4">
      <c r="A1" s="2" t="s">
        <v>11</v>
      </c>
      <c r="B1" s="2"/>
      <c r="C1" s="1"/>
      <c r="D1" s="1"/>
      <c r="E1" s="1"/>
      <c r="F1" s="29"/>
      <c r="G1" s="29"/>
      <c r="H1" s="29"/>
      <c r="I1" s="29"/>
      <c r="J1" s="29"/>
      <c r="K1" s="29"/>
      <c r="L1" s="29"/>
      <c r="M1" s="29"/>
      <c r="N1" s="29"/>
    </row>
    <row r="2" spans="1:14" ht="25.8" thickBot="1" x14ac:dyDescent="0.45">
      <c r="A2" s="2"/>
      <c r="B2" s="2"/>
      <c r="C2" s="1"/>
      <c r="D2" s="1"/>
      <c r="E2" s="1"/>
      <c r="F2" s="87" t="s">
        <v>90</v>
      </c>
      <c r="G2" s="88"/>
      <c r="H2" s="89" t="s">
        <v>91</v>
      </c>
      <c r="I2" s="90"/>
      <c r="J2" s="90"/>
      <c r="K2" s="90"/>
      <c r="L2" s="90"/>
      <c r="M2" s="90"/>
      <c r="N2" s="91"/>
    </row>
    <row r="3" spans="1:14" x14ac:dyDescent="0.4">
      <c r="A3" s="27" t="s">
        <v>6</v>
      </c>
      <c r="B3" s="68" t="s">
        <v>153</v>
      </c>
      <c r="C3" s="28" t="s">
        <v>0</v>
      </c>
      <c r="D3" s="28" t="s">
        <v>1</v>
      </c>
      <c r="E3" s="28" t="s">
        <v>5</v>
      </c>
      <c r="F3" s="31" t="s">
        <v>8</v>
      </c>
      <c r="G3" s="31" t="s">
        <v>88</v>
      </c>
      <c r="H3" s="60" t="s">
        <v>4</v>
      </c>
      <c r="I3" s="59" t="s">
        <v>2</v>
      </c>
      <c r="J3" s="32" t="s">
        <v>88</v>
      </c>
      <c r="K3" s="30" t="s">
        <v>3</v>
      </c>
      <c r="L3" s="30" t="s">
        <v>179</v>
      </c>
      <c r="M3" s="32" t="s">
        <v>9</v>
      </c>
      <c r="N3" s="33" t="s">
        <v>7</v>
      </c>
    </row>
    <row r="4" spans="1:14" x14ac:dyDescent="0.4">
      <c r="A4" s="24">
        <v>1</v>
      </c>
      <c r="B4" s="69">
        <v>45911</v>
      </c>
      <c r="C4" s="19" t="s">
        <v>151</v>
      </c>
      <c r="D4" s="19" t="s">
        <v>152</v>
      </c>
      <c r="E4" s="19" t="s">
        <v>152</v>
      </c>
      <c r="F4" s="25"/>
      <c r="G4" s="26">
        <f>F4/10</f>
        <v>0</v>
      </c>
      <c r="H4" s="25">
        <v>39900</v>
      </c>
      <c r="I4" s="25">
        <v>30000</v>
      </c>
      <c r="J4" s="34">
        <f>I4/10</f>
        <v>3000</v>
      </c>
      <c r="K4" s="25">
        <v>4500</v>
      </c>
      <c r="L4" s="25">
        <v>3000</v>
      </c>
      <c r="M4" s="25">
        <f>H4-I4-K4-L4</f>
        <v>2400</v>
      </c>
      <c r="N4" s="78" t="s">
        <v>174</v>
      </c>
    </row>
    <row r="5" spans="1:14" x14ac:dyDescent="0.4">
      <c r="A5" s="18">
        <v>2</v>
      </c>
      <c r="B5" s="69">
        <v>45911</v>
      </c>
      <c r="C5" s="19" t="s">
        <v>151</v>
      </c>
      <c r="D5" s="19" t="s">
        <v>152</v>
      </c>
      <c r="E5" s="19" t="s">
        <v>152</v>
      </c>
      <c r="G5" s="22">
        <f>F5/5</f>
        <v>0</v>
      </c>
      <c r="H5" s="21">
        <v>34900</v>
      </c>
      <c r="I5" s="21">
        <v>20000</v>
      </c>
      <c r="J5" s="35">
        <f>I5/5</f>
        <v>4000</v>
      </c>
      <c r="K5" s="21">
        <v>4000</v>
      </c>
      <c r="L5" s="21">
        <v>3000</v>
      </c>
      <c r="M5" s="25">
        <f t="shared" ref="M5:M23" si="0">H5-I5-K5-L5</f>
        <v>7900</v>
      </c>
      <c r="N5" s="79" t="s">
        <v>89</v>
      </c>
    </row>
    <row r="6" spans="1:14" x14ac:dyDescent="0.4">
      <c r="A6" s="18">
        <v>3</v>
      </c>
      <c r="B6" s="70">
        <v>45986</v>
      </c>
      <c r="C6" s="19" t="s">
        <v>180</v>
      </c>
      <c r="D6" s="19" t="s">
        <v>181</v>
      </c>
      <c r="E6" s="49" t="s">
        <v>181</v>
      </c>
      <c r="G6" s="22">
        <f>F6/3</f>
        <v>0</v>
      </c>
      <c r="H6" s="21">
        <v>34900</v>
      </c>
      <c r="I6" s="21">
        <v>21700</v>
      </c>
      <c r="J6" s="35">
        <f>I6/3</f>
        <v>7233.333333333333</v>
      </c>
      <c r="K6" s="21">
        <v>4500</v>
      </c>
      <c r="L6" s="21">
        <v>3000</v>
      </c>
      <c r="M6" s="25">
        <f t="shared" si="0"/>
        <v>5700</v>
      </c>
    </row>
    <row r="7" spans="1:14" x14ac:dyDescent="0.4">
      <c r="E7" s="49"/>
      <c r="M7" s="25"/>
    </row>
    <row r="8" spans="1:14" x14ac:dyDescent="0.4">
      <c r="A8" s="18">
        <v>5</v>
      </c>
      <c r="B8" s="70">
        <v>46176</v>
      </c>
      <c r="C8" s="19" t="s">
        <v>182</v>
      </c>
      <c r="D8" s="19" t="s">
        <v>183</v>
      </c>
      <c r="E8" s="19" t="s">
        <v>184</v>
      </c>
      <c r="H8" s="21">
        <v>39000</v>
      </c>
      <c r="I8" s="21">
        <v>24700</v>
      </c>
      <c r="J8" s="35">
        <f>I8/30</f>
        <v>823.33333333333337</v>
      </c>
      <c r="K8" s="21">
        <v>0</v>
      </c>
      <c r="L8" s="21">
        <v>5000</v>
      </c>
      <c r="M8" s="25">
        <f t="shared" si="0"/>
        <v>9300</v>
      </c>
      <c r="N8" s="79" t="s">
        <v>185</v>
      </c>
    </row>
    <row r="9" spans="1:14" x14ac:dyDescent="0.4">
      <c r="A9" s="18">
        <v>6</v>
      </c>
      <c r="C9" s="19" t="s">
        <v>186</v>
      </c>
      <c r="D9" s="19" t="s">
        <v>183</v>
      </c>
      <c r="E9" s="19" t="s">
        <v>184</v>
      </c>
      <c r="H9" s="21">
        <v>29000</v>
      </c>
      <c r="I9" s="21">
        <v>11000</v>
      </c>
      <c r="K9" s="21">
        <v>0</v>
      </c>
      <c r="L9" s="21">
        <v>5000</v>
      </c>
      <c r="M9" s="25">
        <f t="shared" si="0"/>
        <v>13000</v>
      </c>
      <c r="N9" s="92" t="s">
        <v>188</v>
      </c>
    </row>
    <row r="10" spans="1:14" x14ac:dyDescent="0.4">
      <c r="A10" s="18">
        <v>7</v>
      </c>
      <c r="C10" s="19" t="s">
        <v>187</v>
      </c>
      <c r="H10" s="21">
        <v>29000</v>
      </c>
      <c r="I10" s="21">
        <v>15900</v>
      </c>
      <c r="M10" s="25">
        <f t="shared" si="0"/>
        <v>13100</v>
      </c>
      <c r="N10" s="92" t="s">
        <v>188</v>
      </c>
    </row>
    <row r="11" spans="1:14" x14ac:dyDescent="0.4">
      <c r="A11" s="18">
        <v>8</v>
      </c>
      <c r="M11" s="25">
        <f t="shared" si="0"/>
        <v>0</v>
      </c>
    </row>
    <row r="12" spans="1:14" x14ac:dyDescent="0.4">
      <c r="A12" s="18">
        <v>9</v>
      </c>
      <c r="M12" s="25">
        <f t="shared" si="0"/>
        <v>0</v>
      </c>
    </row>
    <row r="13" spans="1:14" x14ac:dyDescent="0.4">
      <c r="A13" s="18">
        <v>10</v>
      </c>
      <c r="M13" s="25">
        <f t="shared" si="0"/>
        <v>0</v>
      </c>
    </row>
    <row r="14" spans="1:14" x14ac:dyDescent="0.4">
      <c r="A14" s="18">
        <v>11</v>
      </c>
      <c r="M14" s="25">
        <f t="shared" si="0"/>
        <v>0</v>
      </c>
    </row>
    <row r="15" spans="1:14" x14ac:dyDescent="0.4">
      <c r="A15" s="18">
        <v>12</v>
      </c>
      <c r="M15" s="25">
        <f t="shared" si="0"/>
        <v>0</v>
      </c>
    </row>
    <row r="16" spans="1:14" x14ac:dyDescent="0.4">
      <c r="A16" s="18">
        <v>13</v>
      </c>
      <c r="M16" s="25">
        <f t="shared" si="0"/>
        <v>0</v>
      </c>
    </row>
    <row r="17" spans="1:13" x14ac:dyDescent="0.4">
      <c r="A17" s="18">
        <v>14</v>
      </c>
      <c r="M17" s="25">
        <f t="shared" si="0"/>
        <v>0</v>
      </c>
    </row>
    <row r="18" spans="1:13" x14ac:dyDescent="0.4">
      <c r="A18" s="18">
        <v>15</v>
      </c>
      <c r="M18" s="25">
        <f t="shared" si="0"/>
        <v>0</v>
      </c>
    </row>
    <row r="19" spans="1:13" x14ac:dyDescent="0.4">
      <c r="A19" s="18">
        <v>16</v>
      </c>
      <c r="M19" s="25">
        <f t="shared" si="0"/>
        <v>0</v>
      </c>
    </row>
    <row r="20" spans="1:13" x14ac:dyDescent="0.4">
      <c r="A20" s="18">
        <v>17</v>
      </c>
      <c r="M20" s="25">
        <f t="shared" si="0"/>
        <v>0</v>
      </c>
    </row>
    <row r="21" spans="1:13" x14ac:dyDescent="0.4">
      <c r="A21" s="18">
        <v>18</v>
      </c>
      <c r="M21" s="25">
        <f t="shared" si="0"/>
        <v>0</v>
      </c>
    </row>
    <row r="22" spans="1:13" x14ac:dyDescent="0.4">
      <c r="A22" s="18">
        <v>19</v>
      </c>
      <c r="M22" s="25">
        <f t="shared" si="0"/>
        <v>0</v>
      </c>
    </row>
    <row r="23" spans="1:13" x14ac:dyDescent="0.4">
      <c r="A23" s="18">
        <v>20</v>
      </c>
      <c r="M23" s="25">
        <f t="shared" si="0"/>
        <v>0</v>
      </c>
    </row>
  </sheetData>
  <mergeCells count="2">
    <mergeCell ref="F2:G2"/>
    <mergeCell ref="H2:N2"/>
  </mergeCells>
  <phoneticPr fontId="1" type="noConversion"/>
  <conditionalFormatting sqref="M4:M1048576">
    <cfRule type="cellIs" dxfId="0" priority="1" operator="lessThan">
      <formula>0</formula>
    </cfRule>
  </conditionalFormatting>
  <hyperlinks>
    <hyperlink ref="N5" r:id="rId1" display="https://smartstore.naver.com/shui100/products/5362272922?NaPm=ct%3Dmfe0yav4%7Cci%3Df159493d71ac32d99c782eaeccea834cfd79c336%7Ctr%3Dslsl%7Csn%3D1007797%7Chk%3D882f4dc2833ca8fba7956ed547afded3df83778e&amp;nl-au=9a4ba3d23164439195941d2dc777cc8e&amp;nl-query=%EB%AA%BB%EB%82%9C%EC%9D%B4+%EA%B3%A0%EA%B5%AC%EB%A7%88" xr:uid="{8D2D542A-C3E4-4903-9019-536987C2703E}"/>
    <hyperlink ref="N4" r:id="rId2" xr:uid="{9B0ED0A0-C6C8-42B8-8182-BBF5B5903EF1}"/>
    <hyperlink ref="N8" r:id="rId3" location="REVIEW" xr:uid="{6163D4F4-A352-49B8-9153-628FCE6010FF}"/>
    <hyperlink ref="N9" r:id="rId4" xr:uid="{23782C45-F491-4563-AA34-DD57DAA2D012}"/>
    <hyperlink ref="N10" r:id="rId5" xr:uid="{8B9DBB69-2EE0-4AC0-85AB-3AF6A1A0A7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EF65-EA59-480C-B38A-9FBA25D789E0}">
  <dimension ref="A1:N18"/>
  <sheetViews>
    <sheetView workbookViewId="0">
      <selection activeCell="F17" sqref="F17"/>
    </sheetView>
  </sheetViews>
  <sheetFormatPr defaultRowHeight="17.399999999999999" x14ac:dyDescent="0.4"/>
  <cols>
    <col min="3" max="3" width="10.3984375" bestFit="1" customWidth="1"/>
    <col min="4" max="4" width="11.5" bestFit="1" customWidth="1"/>
    <col min="9" max="9" width="14.69921875" style="84" bestFit="1" customWidth="1"/>
    <col min="10" max="10" width="20.19921875" bestFit="1" customWidth="1"/>
    <col min="11" max="11" width="16.5" style="1" bestFit="1" customWidth="1"/>
    <col min="12" max="13" width="12.59765625" style="1" bestFit="1" customWidth="1"/>
  </cols>
  <sheetData>
    <row r="1" spans="1:14" ht="25.2" x14ac:dyDescent="0.4">
      <c r="A1" s="2" t="s">
        <v>161</v>
      </c>
      <c r="I1"/>
    </row>
    <row r="2" spans="1:14" ht="18" thickBot="1" x14ac:dyDescent="0.45">
      <c r="I2"/>
    </row>
    <row r="3" spans="1:14" x14ac:dyDescent="0.4">
      <c r="A3" s="27" t="s">
        <v>6</v>
      </c>
      <c r="B3" s="68" t="s">
        <v>153</v>
      </c>
      <c r="C3" s="68" t="s">
        <v>154</v>
      </c>
      <c r="D3" s="28" t="s">
        <v>0</v>
      </c>
      <c r="E3" s="28" t="s">
        <v>1</v>
      </c>
      <c r="F3" s="28" t="s">
        <v>5</v>
      </c>
      <c r="G3" s="73" t="s">
        <v>2</v>
      </c>
      <c r="H3" s="74" t="s">
        <v>88</v>
      </c>
      <c r="I3" s="75" t="s">
        <v>155</v>
      </c>
      <c r="J3" s="75" t="s">
        <v>156</v>
      </c>
      <c r="K3" s="76" t="s">
        <v>159</v>
      </c>
      <c r="L3" s="76" t="s">
        <v>162</v>
      </c>
      <c r="M3" s="76" t="s">
        <v>164</v>
      </c>
      <c r="N3" s="76" t="s">
        <v>166</v>
      </c>
    </row>
    <row r="4" spans="1:14" x14ac:dyDescent="0.4">
      <c r="A4" s="24">
        <v>1</v>
      </c>
      <c r="B4" s="69">
        <v>45911</v>
      </c>
      <c r="C4" s="69" t="s">
        <v>151</v>
      </c>
      <c r="D4" s="19" t="s">
        <v>151</v>
      </c>
      <c r="E4" s="19" t="s">
        <v>152</v>
      </c>
      <c r="F4" s="19" t="s">
        <v>152</v>
      </c>
      <c r="G4" s="25">
        <v>10000</v>
      </c>
      <c r="H4" s="34">
        <f>G4/10</f>
        <v>1000</v>
      </c>
      <c r="I4" s="72" t="s">
        <v>157</v>
      </c>
      <c r="J4" s="85" t="s">
        <v>158</v>
      </c>
      <c r="K4" s="77" t="s">
        <v>160</v>
      </c>
      <c r="L4" s="77" t="s">
        <v>163</v>
      </c>
      <c r="M4" s="77" t="s">
        <v>165</v>
      </c>
      <c r="N4" s="78" t="s">
        <v>174</v>
      </c>
    </row>
    <row r="5" spans="1:14" x14ac:dyDescent="0.4">
      <c r="A5" s="18">
        <v>2</v>
      </c>
      <c r="B5" s="70">
        <v>45912</v>
      </c>
      <c r="C5" s="70" t="s">
        <v>168</v>
      </c>
      <c r="D5" s="19" t="s">
        <v>169</v>
      </c>
      <c r="E5" s="20" t="s">
        <v>170</v>
      </c>
      <c r="F5" s="20" t="s">
        <v>170</v>
      </c>
      <c r="G5" s="21">
        <v>7990</v>
      </c>
      <c r="H5" s="35">
        <f>G5/20</f>
        <v>399.5</v>
      </c>
      <c r="I5" s="82" t="s">
        <v>173</v>
      </c>
      <c r="J5" s="81" t="s">
        <v>171</v>
      </c>
      <c r="K5" s="80" t="s">
        <v>172</v>
      </c>
      <c r="L5" s="80" t="s">
        <v>163</v>
      </c>
      <c r="M5" s="77" t="s">
        <v>165</v>
      </c>
      <c r="N5" s="54" t="s">
        <v>167</v>
      </c>
    </row>
    <row r="6" spans="1:14" x14ac:dyDescent="0.4">
      <c r="A6" s="18">
        <v>3</v>
      </c>
      <c r="B6" s="70"/>
      <c r="C6" s="70"/>
      <c r="D6" s="19"/>
      <c r="E6" s="19"/>
      <c r="F6" s="49"/>
      <c r="G6" s="21"/>
      <c r="H6" s="35">
        <f>G6/3</f>
        <v>0</v>
      </c>
      <c r="I6" s="83"/>
      <c r="J6" s="71"/>
      <c r="K6" s="80">
        <v>0</v>
      </c>
      <c r="L6" s="80">
        <v>0</v>
      </c>
      <c r="M6" s="80">
        <v>0</v>
      </c>
    </row>
    <row r="7" spans="1:14" x14ac:dyDescent="0.4">
      <c r="A7" s="18">
        <v>4</v>
      </c>
      <c r="B7" s="70"/>
      <c r="C7" s="70"/>
      <c r="D7" s="19"/>
      <c r="E7" s="20"/>
      <c r="F7" s="20"/>
      <c r="G7" s="21"/>
      <c r="H7" s="35">
        <f>G7/5</f>
        <v>0</v>
      </c>
      <c r="I7" s="83"/>
      <c r="J7" s="71"/>
      <c r="K7" s="80">
        <v>0</v>
      </c>
      <c r="L7" s="80">
        <v>0</v>
      </c>
      <c r="M7" s="80">
        <v>0</v>
      </c>
    </row>
    <row r="8" spans="1:14" x14ac:dyDescent="0.4">
      <c r="A8" s="18">
        <v>5</v>
      </c>
      <c r="B8" s="70"/>
      <c r="C8" s="70"/>
      <c r="D8" s="19"/>
      <c r="E8" s="20"/>
      <c r="F8" s="20"/>
      <c r="G8" s="21"/>
      <c r="H8" s="35">
        <f t="shared" ref="H8:H17" si="0">G8/5</f>
        <v>0</v>
      </c>
      <c r="I8" s="83"/>
      <c r="J8" s="71"/>
      <c r="K8" s="80">
        <v>0</v>
      </c>
      <c r="L8" s="80">
        <v>0</v>
      </c>
      <c r="M8" s="80">
        <v>0</v>
      </c>
    </row>
    <row r="9" spans="1:14" x14ac:dyDescent="0.4">
      <c r="A9" s="18">
        <v>6</v>
      </c>
      <c r="B9" s="70"/>
      <c r="C9" s="70"/>
      <c r="D9" s="19"/>
      <c r="E9" s="20"/>
      <c r="F9" s="20"/>
      <c r="G9" s="21"/>
      <c r="H9" s="35">
        <f t="shared" si="0"/>
        <v>0</v>
      </c>
      <c r="I9" s="83"/>
      <c r="J9" s="71"/>
      <c r="K9" s="80">
        <v>0</v>
      </c>
      <c r="L9" s="80">
        <v>0</v>
      </c>
      <c r="M9" s="80">
        <v>0</v>
      </c>
    </row>
    <row r="10" spans="1:14" x14ac:dyDescent="0.4">
      <c r="A10" s="18">
        <v>7</v>
      </c>
      <c r="B10" s="70"/>
      <c r="C10" s="70"/>
      <c r="D10" s="19"/>
      <c r="E10" s="20"/>
      <c r="F10" s="20"/>
      <c r="G10" s="21"/>
      <c r="H10" s="35">
        <f t="shared" si="0"/>
        <v>0</v>
      </c>
      <c r="I10" s="83"/>
      <c r="J10" s="71"/>
      <c r="K10" s="80">
        <v>0</v>
      </c>
      <c r="L10" s="80">
        <v>0</v>
      </c>
      <c r="M10" s="80">
        <v>0</v>
      </c>
    </row>
    <row r="11" spans="1:14" x14ac:dyDescent="0.4">
      <c r="A11" s="18">
        <v>8</v>
      </c>
      <c r="B11" s="70"/>
      <c r="C11" s="70"/>
      <c r="D11" s="19"/>
      <c r="E11" s="20"/>
      <c r="F11" s="20"/>
      <c r="G11" s="21"/>
      <c r="H11" s="35">
        <f t="shared" si="0"/>
        <v>0</v>
      </c>
      <c r="I11" s="83"/>
      <c r="J11" s="71"/>
      <c r="K11" s="80">
        <v>0</v>
      </c>
      <c r="L11" s="80">
        <v>0</v>
      </c>
      <c r="M11" s="80">
        <v>0</v>
      </c>
    </row>
    <row r="12" spans="1:14" x14ac:dyDescent="0.4">
      <c r="A12" s="18">
        <v>9</v>
      </c>
      <c r="B12" s="70"/>
      <c r="C12" s="70"/>
      <c r="D12" s="19"/>
      <c r="E12" s="20"/>
      <c r="F12" s="20"/>
      <c r="G12" s="21"/>
      <c r="H12" s="35">
        <f t="shared" si="0"/>
        <v>0</v>
      </c>
      <c r="I12" s="83"/>
      <c r="J12" s="71"/>
      <c r="K12" s="80">
        <v>0</v>
      </c>
      <c r="L12" s="80">
        <v>0</v>
      </c>
      <c r="M12" s="80">
        <v>0</v>
      </c>
    </row>
    <row r="13" spans="1:14" x14ac:dyDescent="0.4">
      <c r="A13" s="18">
        <v>10</v>
      </c>
      <c r="B13" s="70"/>
      <c r="C13" s="70"/>
      <c r="D13" s="19"/>
      <c r="E13" s="20"/>
      <c r="F13" s="20"/>
      <c r="G13" s="21"/>
      <c r="H13" s="35">
        <f t="shared" si="0"/>
        <v>0</v>
      </c>
      <c r="I13" s="83"/>
      <c r="J13" s="71"/>
      <c r="K13" s="80">
        <v>0</v>
      </c>
      <c r="L13" s="80">
        <v>0</v>
      </c>
      <c r="M13" s="80">
        <v>0</v>
      </c>
    </row>
    <row r="14" spans="1:14" x14ac:dyDescent="0.4">
      <c r="A14" s="18">
        <v>11</v>
      </c>
      <c r="B14" s="70"/>
      <c r="C14" s="70"/>
      <c r="D14" s="19"/>
      <c r="E14" s="20"/>
      <c r="F14" s="20"/>
      <c r="G14" s="21"/>
      <c r="H14" s="35">
        <f t="shared" si="0"/>
        <v>0</v>
      </c>
      <c r="I14" s="83"/>
      <c r="J14" s="71"/>
      <c r="K14" s="80">
        <v>0</v>
      </c>
      <c r="L14" s="80">
        <v>0</v>
      </c>
      <c r="M14" s="80">
        <v>0</v>
      </c>
    </row>
    <row r="15" spans="1:14" x14ac:dyDescent="0.4">
      <c r="A15" s="18">
        <v>12</v>
      </c>
      <c r="B15" s="70"/>
      <c r="C15" s="70"/>
      <c r="D15" s="19"/>
      <c r="E15" s="20"/>
      <c r="F15" s="20"/>
      <c r="G15" s="21"/>
      <c r="H15" s="35">
        <f t="shared" si="0"/>
        <v>0</v>
      </c>
      <c r="I15" s="83"/>
      <c r="J15" s="71"/>
      <c r="K15" s="80">
        <v>0</v>
      </c>
      <c r="L15" s="80">
        <v>0</v>
      </c>
      <c r="M15" s="80">
        <v>0</v>
      </c>
    </row>
    <row r="16" spans="1:14" x14ac:dyDescent="0.4">
      <c r="A16" s="18">
        <v>13</v>
      </c>
      <c r="B16" s="70"/>
      <c r="C16" s="70"/>
      <c r="D16" s="19"/>
      <c r="E16" s="20"/>
      <c r="F16" s="20"/>
      <c r="G16" s="21"/>
      <c r="H16" s="35">
        <f t="shared" si="0"/>
        <v>0</v>
      </c>
      <c r="I16" s="83"/>
      <c r="J16" s="71"/>
      <c r="K16" s="80">
        <v>0</v>
      </c>
      <c r="L16" s="80">
        <v>0</v>
      </c>
      <c r="M16" s="80">
        <v>0</v>
      </c>
    </row>
    <row r="17" spans="1:13" x14ac:dyDescent="0.4">
      <c r="A17" s="18">
        <v>14</v>
      </c>
      <c r="B17" s="70"/>
      <c r="C17" s="70"/>
      <c r="D17" s="19"/>
      <c r="E17" s="20"/>
      <c r="F17" s="20"/>
      <c r="G17" s="21"/>
      <c r="H17" s="35">
        <f t="shared" si="0"/>
        <v>0</v>
      </c>
      <c r="I17" s="83"/>
      <c r="J17" s="71"/>
      <c r="K17" s="80">
        <v>0</v>
      </c>
      <c r="L17" s="80">
        <v>0</v>
      </c>
      <c r="M17" s="80">
        <v>0</v>
      </c>
    </row>
    <row r="18" spans="1:13" x14ac:dyDescent="0.4">
      <c r="A18" s="18">
        <v>15</v>
      </c>
      <c r="B18" s="70"/>
      <c r="C18" s="70"/>
      <c r="D18" s="19"/>
      <c r="E18" s="20"/>
      <c r="F18" s="20"/>
      <c r="G18" s="21"/>
      <c r="H18" s="35">
        <f>G18/5</f>
        <v>0</v>
      </c>
      <c r="I18" s="83"/>
      <c r="J18" s="71"/>
      <c r="K18" s="80">
        <v>0</v>
      </c>
      <c r="L18" s="80">
        <v>0</v>
      </c>
      <c r="M18" s="80">
        <v>0</v>
      </c>
    </row>
  </sheetData>
  <phoneticPr fontId="1" type="noConversion"/>
  <hyperlinks>
    <hyperlink ref="J4" r:id="rId1" xr:uid="{B6ADE6E7-BB0E-4756-9F46-0ADCF1C62E29}"/>
    <hyperlink ref="N5" r:id="rId2" xr:uid="{C0A09F55-484D-4B05-8B1F-44EF5D0ED7BE}"/>
    <hyperlink ref="N4" r:id="rId3" xr:uid="{FD249660-66DC-4A48-8D71-22F85A9180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D88A-F90A-484F-8E6D-17CCBDB8129F}">
  <dimension ref="A1:AF66"/>
  <sheetViews>
    <sheetView topLeftCell="A5" zoomScale="70" zoomScaleNormal="70" workbookViewId="0">
      <selection activeCell="J10" sqref="J10"/>
    </sheetView>
  </sheetViews>
  <sheetFormatPr defaultRowHeight="17.399999999999999" x14ac:dyDescent="0.4"/>
  <cols>
    <col min="1" max="1" width="5.19921875" customWidth="1"/>
    <col min="2" max="2" width="119.59765625" customWidth="1"/>
    <col min="3" max="3" width="2.8984375" customWidth="1"/>
  </cols>
  <sheetData>
    <row r="1" spans="1:32" ht="25.8" thickBot="1" x14ac:dyDescent="0.45">
      <c r="A1" s="38" t="s">
        <v>10</v>
      </c>
      <c r="B1" s="11"/>
    </row>
    <row r="2" spans="1:32" ht="21" x14ac:dyDescent="0.4">
      <c r="A2" s="47" t="s">
        <v>34</v>
      </c>
      <c r="B2" s="48" t="s">
        <v>0</v>
      </c>
      <c r="C2" s="4"/>
      <c r="D2" s="16" t="s">
        <v>77</v>
      </c>
      <c r="E2" s="4"/>
      <c r="Q2" s="51" t="s">
        <v>100</v>
      </c>
    </row>
    <row r="3" spans="1:32" ht="19.2" x14ac:dyDescent="0.4">
      <c r="A3" s="46">
        <v>1</v>
      </c>
      <c r="B3" s="61" t="s">
        <v>12</v>
      </c>
      <c r="C3" s="3"/>
      <c r="D3" s="4"/>
      <c r="E3" s="4"/>
    </row>
    <row r="4" spans="1:32" ht="19.2" x14ac:dyDescent="0.4">
      <c r="A4" s="39">
        <v>2</v>
      </c>
      <c r="B4" s="40" t="s">
        <v>13</v>
      </c>
      <c r="C4" s="3"/>
      <c r="D4" s="16" t="s">
        <v>74</v>
      </c>
      <c r="E4" s="4"/>
      <c r="Q4" s="52" t="s">
        <v>101</v>
      </c>
    </row>
    <row r="5" spans="1:32" ht="19.2" x14ac:dyDescent="0.4">
      <c r="A5" s="39">
        <v>3</v>
      </c>
      <c r="B5" s="40" t="s">
        <v>14</v>
      </c>
      <c r="C5" s="3"/>
      <c r="D5" s="16" t="s">
        <v>75</v>
      </c>
      <c r="E5" s="4"/>
    </row>
    <row r="6" spans="1:32" ht="19.2" x14ac:dyDescent="0.4">
      <c r="A6" s="39">
        <v>4</v>
      </c>
      <c r="B6" s="40" t="s">
        <v>15</v>
      </c>
      <c r="C6" s="3"/>
      <c r="D6" s="9" t="s">
        <v>73</v>
      </c>
      <c r="E6" s="4"/>
      <c r="Q6" s="54" t="s">
        <v>102</v>
      </c>
    </row>
    <row r="7" spans="1:32" ht="19.2" x14ac:dyDescent="0.4">
      <c r="A7" s="39">
        <v>5</v>
      </c>
      <c r="B7" s="40" t="s">
        <v>16</v>
      </c>
      <c r="C7" s="3"/>
      <c r="D7" s="16" t="s">
        <v>76</v>
      </c>
      <c r="E7" s="4"/>
      <c r="Q7" s="52" t="s">
        <v>103</v>
      </c>
    </row>
    <row r="8" spans="1:32" ht="19.2" x14ac:dyDescent="0.4">
      <c r="A8" s="39">
        <v>6</v>
      </c>
      <c r="B8" s="40" t="s">
        <v>17</v>
      </c>
      <c r="C8" s="3"/>
      <c r="D8" s="3"/>
      <c r="E8" s="3"/>
    </row>
    <row r="9" spans="1:32" ht="19.2" x14ac:dyDescent="0.4">
      <c r="A9" s="39">
        <v>7</v>
      </c>
      <c r="B9" s="40" t="s">
        <v>18</v>
      </c>
      <c r="C9" s="3"/>
      <c r="D9" s="3"/>
      <c r="E9" s="3"/>
    </row>
    <row r="10" spans="1:32" ht="24.6" x14ac:dyDescent="0.4">
      <c r="A10" s="39">
        <v>8</v>
      </c>
      <c r="B10" s="50" t="s">
        <v>19</v>
      </c>
      <c r="C10" s="3"/>
      <c r="D10" s="14" t="s">
        <v>69</v>
      </c>
      <c r="E10" s="3"/>
      <c r="Q10" s="55" t="s">
        <v>104</v>
      </c>
    </row>
    <row r="11" spans="1:32" ht="20.399999999999999" x14ac:dyDescent="0.4">
      <c r="A11" s="39">
        <v>9</v>
      </c>
      <c r="B11" s="40" t="s">
        <v>20</v>
      </c>
      <c r="C11" s="3"/>
      <c r="D11" s="15"/>
      <c r="E11" s="3"/>
    </row>
    <row r="12" spans="1:32" ht="25.2" x14ac:dyDescent="0.4">
      <c r="A12" s="39">
        <v>10</v>
      </c>
      <c r="B12" s="40" t="s">
        <v>21</v>
      </c>
      <c r="C12" s="3"/>
      <c r="D12" s="14" t="s">
        <v>70</v>
      </c>
      <c r="E12" s="3"/>
      <c r="Q12" s="56" t="s">
        <v>105</v>
      </c>
      <c r="R12" s="57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</row>
    <row r="13" spans="1:32" ht="25.2" x14ac:dyDescent="0.4">
      <c r="A13" s="39">
        <v>11</v>
      </c>
      <c r="B13" s="40" t="s">
        <v>22</v>
      </c>
      <c r="C13" s="3"/>
      <c r="D13" s="14" t="s">
        <v>71</v>
      </c>
      <c r="E13" s="15"/>
      <c r="F13" s="15"/>
      <c r="Q13" s="56" t="s">
        <v>106</v>
      </c>
      <c r="R13" s="57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</row>
    <row r="14" spans="1:32" ht="25.2" x14ac:dyDescent="0.4">
      <c r="A14" s="39">
        <v>12</v>
      </c>
      <c r="B14" s="40" t="s">
        <v>23</v>
      </c>
      <c r="C14" s="3"/>
      <c r="D14" s="14" t="s">
        <v>72</v>
      </c>
      <c r="E14" s="15"/>
      <c r="F14" s="15"/>
      <c r="Q14" s="56" t="s">
        <v>107</v>
      </c>
      <c r="R14" s="57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</row>
    <row r="15" spans="1:32" ht="25.2" x14ac:dyDescent="0.4">
      <c r="A15" s="39">
        <v>13</v>
      </c>
      <c r="B15" s="40" t="s">
        <v>24</v>
      </c>
      <c r="C15" s="3"/>
      <c r="E15" s="15"/>
      <c r="F15" s="15"/>
      <c r="Q15" s="56" t="s">
        <v>108</v>
      </c>
      <c r="R15" s="57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</row>
    <row r="16" spans="1:32" ht="20.399999999999999" x14ac:dyDescent="0.4">
      <c r="A16" s="39">
        <v>14</v>
      </c>
      <c r="B16" s="40" t="s">
        <v>25</v>
      </c>
      <c r="C16" s="3"/>
      <c r="D16" s="14" t="s">
        <v>93</v>
      </c>
    </row>
    <row r="17" spans="1:6" ht="20.399999999999999" x14ac:dyDescent="0.4">
      <c r="A17" s="39">
        <v>15</v>
      </c>
      <c r="B17" s="40" t="s">
        <v>26</v>
      </c>
      <c r="C17" s="3"/>
      <c r="D17" s="53" t="s">
        <v>94</v>
      </c>
      <c r="E17" s="15"/>
    </row>
    <row r="18" spans="1:6" ht="20.399999999999999" x14ac:dyDescent="0.4">
      <c r="A18" s="39">
        <v>16</v>
      </c>
      <c r="B18" s="40" t="s">
        <v>27</v>
      </c>
      <c r="C18" s="3"/>
      <c r="D18" s="53" t="s">
        <v>95</v>
      </c>
      <c r="E18" s="15"/>
    </row>
    <row r="19" spans="1:6" ht="20.399999999999999" x14ac:dyDescent="0.4">
      <c r="A19" s="39">
        <v>17</v>
      </c>
      <c r="B19" s="41"/>
      <c r="C19" s="3"/>
      <c r="D19" s="53" t="s">
        <v>96</v>
      </c>
      <c r="E19" s="15"/>
    </row>
    <row r="20" spans="1:6" ht="20.399999999999999" x14ac:dyDescent="0.4">
      <c r="A20" s="39">
        <v>18</v>
      </c>
      <c r="B20" s="42" t="s">
        <v>28</v>
      </c>
      <c r="C20" s="3"/>
      <c r="D20" s="53" t="s">
        <v>97</v>
      </c>
      <c r="E20" s="15"/>
    </row>
    <row r="21" spans="1:6" ht="20.399999999999999" x14ac:dyDescent="0.4">
      <c r="A21" s="39">
        <v>20</v>
      </c>
      <c r="B21" s="40" t="s">
        <v>29</v>
      </c>
      <c r="C21" s="3"/>
      <c r="D21" s="53" t="s">
        <v>98</v>
      </c>
      <c r="E21" s="15"/>
    </row>
    <row r="22" spans="1:6" ht="20.399999999999999" x14ac:dyDescent="0.4">
      <c r="A22" s="39">
        <v>21</v>
      </c>
      <c r="B22" s="40" t="s">
        <v>30</v>
      </c>
      <c r="C22" s="3"/>
      <c r="D22" s="53" t="s">
        <v>99</v>
      </c>
      <c r="E22" s="15"/>
    </row>
    <row r="23" spans="1:6" ht="19.2" x14ac:dyDescent="0.4">
      <c r="A23" s="39">
        <v>22</v>
      </c>
      <c r="B23" s="40" t="s">
        <v>31</v>
      </c>
      <c r="C23" s="3"/>
    </row>
    <row r="24" spans="1:6" ht="19.2" x14ac:dyDescent="0.4">
      <c r="A24" s="39">
        <v>23</v>
      </c>
      <c r="B24" s="40" t="s">
        <v>32</v>
      </c>
      <c r="C24" s="3"/>
      <c r="D24" s="16" t="s">
        <v>78</v>
      </c>
      <c r="E24" s="4"/>
      <c r="F24" s="4"/>
    </row>
    <row r="25" spans="1:6" ht="19.2" x14ac:dyDescent="0.4">
      <c r="A25" s="39">
        <v>24</v>
      </c>
      <c r="B25" s="40" t="s">
        <v>33</v>
      </c>
      <c r="C25" s="3"/>
      <c r="D25" s="17" t="s">
        <v>83</v>
      </c>
      <c r="E25" s="4"/>
      <c r="F25" s="4"/>
    </row>
    <row r="26" spans="1:6" ht="19.2" x14ac:dyDescent="0.4">
      <c r="A26" s="39">
        <v>25</v>
      </c>
      <c r="B26" s="40" t="s">
        <v>62</v>
      </c>
      <c r="D26" s="17" t="s">
        <v>84</v>
      </c>
      <c r="E26" s="4"/>
      <c r="F26" s="4"/>
    </row>
    <row r="27" spans="1:6" ht="19.2" x14ac:dyDescent="0.4">
      <c r="A27" s="39">
        <v>26</v>
      </c>
      <c r="B27" s="40" t="s">
        <v>63</v>
      </c>
      <c r="D27" s="17" t="s">
        <v>85</v>
      </c>
      <c r="E27" s="4"/>
      <c r="F27" s="4"/>
    </row>
    <row r="28" spans="1:6" ht="19.2" x14ac:dyDescent="0.4">
      <c r="A28" s="39">
        <v>27</v>
      </c>
      <c r="B28" s="40" t="s">
        <v>64</v>
      </c>
      <c r="D28" s="17" t="s">
        <v>86</v>
      </c>
      <c r="E28" s="4"/>
      <c r="F28" s="4"/>
    </row>
    <row r="29" spans="1:6" ht="19.2" x14ac:dyDescent="0.4">
      <c r="A29" s="39">
        <v>28</v>
      </c>
      <c r="B29" s="40" t="s">
        <v>65</v>
      </c>
      <c r="D29" s="17" t="s">
        <v>87</v>
      </c>
      <c r="E29" s="4"/>
      <c r="F29" s="4"/>
    </row>
    <row r="30" spans="1:6" ht="19.2" x14ac:dyDescent="0.4">
      <c r="A30" s="39">
        <v>29</v>
      </c>
      <c r="B30" s="40" t="s">
        <v>66</v>
      </c>
      <c r="D30" s="16"/>
      <c r="E30" s="4"/>
      <c r="F30" s="4"/>
    </row>
    <row r="31" spans="1:6" ht="19.2" x14ac:dyDescent="0.4">
      <c r="A31" s="39">
        <v>30</v>
      </c>
      <c r="B31" s="40" t="s">
        <v>67</v>
      </c>
      <c r="D31" s="16" t="s">
        <v>79</v>
      </c>
      <c r="E31" s="4"/>
      <c r="F31" s="4"/>
    </row>
    <row r="32" spans="1:6" ht="19.2" x14ac:dyDescent="0.4">
      <c r="A32" s="39">
        <v>31</v>
      </c>
      <c r="B32" s="40" t="s">
        <v>68</v>
      </c>
      <c r="D32" s="9" t="s">
        <v>80</v>
      </c>
      <c r="E32" s="4"/>
      <c r="F32" s="4"/>
    </row>
    <row r="33" spans="1:6" ht="19.2" x14ac:dyDescent="0.4">
      <c r="A33" s="39">
        <v>32</v>
      </c>
      <c r="B33" s="40" t="s">
        <v>61</v>
      </c>
      <c r="D33" s="9" t="s">
        <v>81</v>
      </c>
      <c r="E33" s="4"/>
      <c r="F33" s="4"/>
    </row>
    <row r="34" spans="1:6" ht="19.2" x14ac:dyDescent="0.4">
      <c r="A34" s="43"/>
      <c r="B34" s="23"/>
      <c r="D34" s="4"/>
      <c r="E34" s="4"/>
      <c r="F34" s="4"/>
    </row>
    <row r="35" spans="1:6" ht="19.2" x14ac:dyDescent="0.4">
      <c r="A35" s="43"/>
      <c r="B35" s="23"/>
      <c r="D35" s="16" t="s">
        <v>82</v>
      </c>
      <c r="E35" s="4"/>
      <c r="F35" s="4"/>
    </row>
    <row r="36" spans="1:6" x14ac:dyDescent="0.4">
      <c r="A36" s="43"/>
      <c r="B36" s="23"/>
    </row>
    <row r="37" spans="1:6" x14ac:dyDescent="0.4">
      <c r="A37" s="43"/>
      <c r="B37" s="23"/>
    </row>
    <row r="38" spans="1:6" x14ac:dyDescent="0.4">
      <c r="A38" s="43"/>
      <c r="B38" s="23"/>
      <c r="D38" s="86"/>
    </row>
    <row r="39" spans="1:6" x14ac:dyDescent="0.4">
      <c r="A39" s="43"/>
      <c r="B39" s="23"/>
      <c r="D39" s="86"/>
    </row>
    <row r="40" spans="1:6" x14ac:dyDescent="0.4">
      <c r="A40" s="43"/>
      <c r="B40" s="23"/>
      <c r="D40" s="86"/>
    </row>
    <row r="41" spans="1:6" x14ac:dyDescent="0.4">
      <c r="A41" s="43"/>
      <c r="B41" s="23"/>
      <c r="D41" s="86"/>
    </row>
    <row r="42" spans="1:6" x14ac:dyDescent="0.4">
      <c r="A42" s="43"/>
      <c r="B42" s="23"/>
      <c r="D42" s="86"/>
    </row>
    <row r="43" spans="1:6" x14ac:dyDescent="0.4">
      <c r="A43" s="43"/>
      <c r="B43" s="23"/>
      <c r="D43" s="86"/>
    </row>
    <row r="44" spans="1:6" x14ac:dyDescent="0.4">
      <c r="A44" s="43"/>
      <c r="B44" s="23"/>
      <c r="D44" s="86"/>
    </row>
    <row r="45" spans="1:6" x14ac:dyDescent="0.4">
      <c r="A45" s="43"/>
      <c r="B45" s="23"/>
      <c r="D45" s="86"/>
    </row>
    <row r="46" spans="1:6" x14ac:dyDescent="0.4">
      <c r="A46" s="43"/>
      <c r="B46" s="23"/>
      <c r="D46" s="86"/>
    </row>
    <row r="47" spans="1:6" x14ac:dyDescent="0.4">
      <c r="A47" s="43"/>
      <c r="B47" s="23"/>
      <c r="D47" s="86"/>
    </row>
    <row r="48" spans="1:6" x14ac:dyDescent="0.4">
      <c r="A48" s="43"/>
      <c r="B48" s="23"/>
      <c r="D48" s="86"/>
    </row>
    <row r="49" spans="1:4" x14ac:dyDescent="0.4">
      <c r="A49" s="43"/>
      <c r="B49" s="23"/>
      <c r="D49" s="86"/>
    </row>
    <row r="50" spans="1:4" x14ac:dyDescent="0.4">
      <c r="A50" s="43"/>
      <c r="B50" s="23"/>
      <c r="D50" s="86"/>
    </row>
    <row r="51" spans="1:4" x14ac:dyDescent="0.4">
      <c r="A51" s="43"/>
      <c r="B51" s="23"/>
      <c r="D51" s="86"/>
    </row>
    <row r="52" spans="1:4" x14ac:dyDescent="0.4">
      <c r="A52" s="43"/>
      <c r="B52" s="23"/>
      <c r="D52" s="86"/>
    </row>
    <row r="53" spans="1:4" x14ac:dyDescent="0.4">
      <c r="A53" s="43"/>
      <c r="B53" s="23"/>
      <c r="D53" s="86"/>
    </row>
    <row r="54" spans="1:4" x14ac:dyDescent="0.4">
      <c r="A54" s="43"/>
      <c r="B54" s="23"/>
    </row>
    <row r="55" spans="1:4" x14ac:dyDescent="0.4">
      <c r="A55" s="43"/>
      <c r="B55" s="23"/>
    </row>
    <row r="56" spans="1:4" x14ac:dyDescent="0.4">
      <c r="A56" s="43"/>
      <c r="B56" s="23"/>
    </row>
    <row r="57" spans="1:4" x14ac:dyDescent="0.4">
      <c r="A57" s="43"/>
      <c r="B57" s="23"/>
    </row>
    <row r="58" spans="1:4" x14ac:dyDescent="0.4">
      <c r="A58" s="43"/>
      <c r="B58" s="23"/>
    </row>
    <row r="59" spans="1:4" x14ac:dyDescent="0.4">
      <c r="A59" s="43"/>
      <c r="B59" s="23"/>
    </row>
    <row r="60" spans="1:4" x14ac:dyDescent="0.4">
      <c r="A60" s="43"/>
      <c r="B60" s="23"/>
    </row>
    <row r="61" spans="1:4" x14ac:dyDescent="0.4">
      <c r="A61" s="43"/>
      <c r="B61" s="23"/>
    </row>
    <row r="62" spans="1:4" x14ac:dyDescent="0.4">
      <c r="A62" s="43"/>
      <c r="B62" s="23"/>
    </row>
    <row r="63" spans="1:4" x14ac:dyDescent="0.4">
      <c r="A63" s="43"/>
      <c r="B63" s="23"/>
    </row>
    <row r="64" spans="1:4" x14ac:dyDescent="0.4">
      <c r="A64" s="43"/>
      <c r="B64" s="23"/>
    </row>
    <row r="65" spans="1:2" x14ac:dyDescent="0.4">
      <c r="A65" s="43"/>
      <c r="B65" s="23"/>
    </row>
    <row r="66" spans="1:2" ht="18" thickBot="1" x14ac:dyDescent="0.45">
      <c r="A66" s="44"/>
      <c r="B66" s="45"/>
    </row>
  </sheetData>
  <phoneticPr fontId="1" type="noConversion"/>
  <hyperlinks>
    <hyperlink ref="D25" r:id="rId1" display="https://www.santafarmer.com/" xr:uid="{B3B318D2-A81C-4939-96EE-86877EC2C80C}"/>
    <hyperlink ref="D26" r:id="rId2" display="https://cafe.naver.com/tlsxh" xr:uid="{1BC43171-CA07-4BB7-AA99-FE8FDAD52D22}"/>
    <hyperlink ref="D27" r:id="rId3" display="https://cafe.naver.com/1dsp7" xr:uid="{8DCAB06B-DAF0-47B9-AC6A-0D9131A1C892}"/>
    <hyperlink ref="D28" r:id="rId4" display="https://cafe.naver.com/food2008" xr:uid="{16BA55C7-32DC-4BC9-B904-BC2654A14FD5}"/>
    <hyperlink ref="D29" r:id="rId5" display="https://cafe.naver.com/f-e/cafes/10094408/menus/291?viewType=L" xr:uid="{45D33DF0-256A-4E40-979A-BAD3107ACE60}"/>
    <hyperlink ref="Q6" r:id="rId6" display="https://www.daangn.com/kr/local-profile/?in=%EC%84%9C%EC%B4%88%EB%8F%99-6128" xr:uid="{005CB237-1724-4DFE-B912-2E6336EEA10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7CD3-D71A-48B8-8916-FD80BFA7D8C4}">
  <dimension ref="A1:AD49"/>
  <sheetViews>
    <sheetView zoomScale="70" zoomScaleNormal="70" workbookViewId="0">
      <selection activeCell="P43" sqref="P43"/>
    </sheetView>
  </sheetViews>
  <sheetFormatPr defaultRowHeight="17.399999999999999" x14ac:dyDescent="0.4"/>
  <cols>
    <col min="1" max="16384" width="8.796875" style="5"/>
  </cols>
  <sheetData>
    <row r="1" spans="1:30" ht="25.2" x14ac:dyDescent="0.4">
      <c r="A1" s="2" t="s">
        <v>35</v>
      </c>
    </row>
    <row r="2" spans="1:30" ht="19.2" x14ac:dyDescent="0.4">
      <c r="A2" s="6" t="s">
        <v>39</v>
      </c>
    </row>
    <row r="3" spans="1:30" ht="19.2" x14ac:dyDescent="0.4">
      <c r="A3" s="7" t="s">
        <v>37</v>
      </c>
    </row>
    <row r="4" spans="1:30" ht="19.2" x14ac:dyDescent="0.4">
      <c r="A4" s="6" t="s">
        <v>36</v>
      </c>
    </row>
    <row r="5" spans="1:30" ht="19.2" x14ac:dyDescent="0.4">
      <c r="A5" s="8" t="s">
        <v>40</v>
      </c>
    </row>
    <row r="6" spans="1:30" ht="19.2" x14ac:dyDescent="0.4">
      <c r="A6" s="8" t="s">
        <v>41</v>
      </c>
    </row>
    <row r="9" spans="1:30" x14ac:dyDescent="0.4">
      <c r="A9" s="36" t="s">
        <v>38</v>
      </c>
    </row>
    <row r="10" spans="1:30" ht="19.2" x14ac:dyDescent="0.4">
      <c r="A10" s="9" t="s">
        <v>42</v>
      </c>
      <c r="B10" s="4"/>
      <c r="C10" s="4"/>
      <c r="D10" s="4"/>
    </row>
    <row r="11" spans="1:30" ht="19.2" x14ac:dyDescent="0.4">
      <c r="A11" s="4" t="s">
        <v>43</v>
      </c>
      <c r="B11" s="4"/>
      <c r="C11" s="4"/>
      <c r="D11" s="4"/>
    </row>
    <row r="12" spans="1:30" ht="19.2" x14ac:dyDescent="0.4">
      <c r="A12" s="4"/>
    </row>
    <row r="13" spans="1:30" ht="19.2" x14ac:dyDescent="0.4">
      <c r="A13" s="37" t="s">
        <v>92</v>
      </c>
      <c r="B13" s="36" t="s">
        <v>109</v>
      </c>
      <c r="AD13" s="36" t="s">
        <v>110</v>
      </c>
    </row>
    <row r="14" spans="1:30" ht="19.2" x14ac:dyDescent="0.4">
      <c r="A14" s="37"/>
      <c r="AD14" s="36" t="s">
        <v>120</v>
      </c>
    </row>
    <row r="15" spans="1:30" ht="19.2" x14ac:dyDescent="0.4">
      <c r="A15" s="37"/>
      <c r="B15" s="36" t="s">
        <v>113</v>
      </c>
      <c r="AD15" s="36" t="s">
        <v>121</v>
      </c>
    </row>
    <row r="16" spans="1:30" ht="19.2" x14ac:dyDescent="0.4">
      <c r="A16" s="37"/>
      <c r="B16" s="36" t="s">
        <v>114</v>
      </c>
      <c r="AD16" s="36"/>
    </row>
    <row r="17" spans="1:30" ht="19.2" x14ac:dyDescent="0.4">
      <c r="A17" s="37"/>
      <c r="B17" s="36" t="s">
        <v>111</v>
      </c>
      <c r="AD17" s="36" t="s">
        <v>122</v>
      </c>
    </row>
    <row r="18" spans="1:30" ht="19.2" x14ac:dyDescent="0.4">
      <c r="A18" s="37"/>
      <c r="B18" s="36" t="s">
        <v>112</v>
      </c>
      <c r="AD18" s="36" t="s">
        <v>123</v>
      </c>
    </row>
    <row r="19" spans="1:30" ht="19.2" x14ac:dyDescent="0.4">
      <c r="A19" s="37"/>
      <c r="B19" s="36"/>
      <c r="AD19" s="36" t="s">
        <v>124</v>
      </c>
    </row>
    <row r="20" spans="1:30" ht="19.2" x14ac:dyDescent="0.4">
      <c r="A20" s="37"/>
      <c r="B20" s="36"/>
      <c r="AD20" s="36" t="s">
        <v>125</v>
      </c>
    </row>
    <row r="21" spans="1:30" ht="19.2" x14ac:dyDescent="0.4">
      <c r="A21" s="12" t="s">
        <v>44</v>
      </c>
      <c r="B21" s="11"/>
      <c r="C21" s="11"/>
      <c r="D21" s="11"/>
      <c r="E21" s="11"/>
      <c r="F21" s="11"/>
      <c r="G21" s="11"/>
      <c r="H21" s="11"/>
      <c r="I21" s="11"/>
      <c r="J21" s="11"/>
      <c r="AD21" s="36"/>
    </row>
    <row r="22" spans="1:30" ht="19.2" x14ac:dyDescent="0.4">
      <c r="A22" s="10" t="s">
        <v>45</v>
      </c>
      <c r="B22" s="11"/>
      <c r="C22" s="11"/>
      <c r="D22" s="11"/>
      <c r="E22" s="11"/>
      <c r="F22" s="11"/>
      <c r="G22" s="11"/>
      <c r="H22" s="11"/>
      <c r="I22" s="11"/>
      <c r="J22" s="11"/>
      <c r="AD22" s="36" t="s">
        <v>115</v>
      </c>
    </row>
    <row r="23" spans="1:30" ht="19.2" x14ac:dyDescent="0.4">
      <c r="A23" s="10" t="s">
        <v>46</v>
      </c>
      <c r="B23" s="11"/>
      <c r="C23" s="11"/>
      <c r="D23" s="11"/>
      <c r="E23" s="11"/>
      <c r="F23" s="11"/>
      <c r="G23" s="11"/>
      <c r="H23" s="11"/>
      <c r="I23" s="11"/>
      <c r="J23" s="11"/>
    </row>
    <row r="24" spans="1:30" ht="19.2" x14ac:dyDescent="0.4">
      <c r="A24" s="10"/>
      <c r="B24" s="11"/>
      <c r="C24" s="11"/>
      <c r="D24" s="11"/>
      <c r="E24" s="11"/>
      <c r="F24" s="11"/>
      <c r="G24" s="11"/>
      <c r="H24" s="11"/>
      <c r="I24" s="11"/>
      <c r="J24" s="11"/>
    </row>
    <row r="25" spans="1:30" ht="21" x14ac:dyDescent="0.4">
      <c r="A25" s="67" t="s">
        <v>150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30" ht="19.2" x14ac:dyDescent="0.4">
      <c r="A26" s="10"/>
      <c r="B26" s="11"/>
      <c r="C26" s="11"/>
      <c r="D26" s="11"/>
      <c r="E26" s="11"/>
      <c r="F26" s="11"/>
      <c r="G26" s="11"/>
      <c r="H26" s="11"/>
      <c r="I26" s="11"/>
      <c r="J26" s="11"/>
    </row>
    <row r="27" spans="1:30" ht="19.2" x14ac:dyDescent="0.4">
      <c r="A27" s="10"/>
      <c r="B27" s="11"/>
      <c r="C27" s="11"/>
      <c r="D27" s="11"/>
      <c r="E27" s="11"/>
      <c r="F27" s="11"/>
      <c r="G27" s="11"/>
      <c r="H27" s="11"/>
      <c r="I27" s="11"/>
      <c r="J27" s="11"/>
    </row>
    <row r="28" spans="1:30" ht="19.2" x14ac:dyDescent="0.4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spans="1:30" ht="19.2" x14ac:dyDescent="0.4">
      <c r="A29" s="10"/>
      <c r="B29" s="11"/>
      <c r="C29" s="11"/>
      <c r="D29" s="11"/>
      <c r="E29" s="11"/>
      <c r="F29" s="11"/>
      <c r="G29" s="11"/>
      <c r="H29" s="11"/>
      <c r="I29" s="11"/>
      <c r="J29" s="11"/>
    </row>
    <row r="30" spans="1:30" ht="19.2" x14ac:dyDescent="0.4">
      <c r="A30" s="10"/>
      <c r="B30" s="11"/>
      <c r="C30" s="11"/>
      <c r="D30" s="11"/>
      <c r="E30" s="11"/>
      <c r="F30" s="11"/>
      <c r="G30" s="11"/>
      <c r="H30" s="11"/>
      <c r="I30" s="11"/>
      <c r="J30" s="11"/>
    </row>
    <row r="31" spans="1:30" ht="19.2" x14ac:dyDescent="0.4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30" ht="19.2" x14ac:dyDescent="0.4">
      <c r="A32" s="12" t="s">
        <v>47</v>
      </c>
      <c r="B32" s="11"/>
      <c r="C32" s="11"/>
      <c r="D32" s="11"/>
      <c r="E32" s="11"/>
      <c r="F32" s="11"/>
      <c r="G32" s="11"/>
      <c r="H32" s="11"/>
      <c r="I32" s="11"/>
      <c r="J32" s="11"/>
      <c r="AD32" s="36" t="s">
        <v>110</v>
      </c>
    </row>
    <row r="33" spans="1:30" ht="19.2" x14ac:dyDescent="0.4">
      <c r="A33" s="10" t="s">
        <v>48</v>
      </c>
      <c r="B33" s="11"/>
      <c r="C33" s="11"/>
      <c r="D33" s="11"/>
      <c r="E33" s="11"/>
      <c r="F33" s="11"/>
      <c r="G33" s="11"/>
      <c r="H33" s="11"/>
      <c r="I33" s="11"/>
      <c r="J33" s="11"/>
      <c r="AD33" s="36" t="s">
        <v>120</v>
      </c>
    </row>
    <row r="34" spans="1:30" ht="19.2" x14ac:dyDescent="0.4">
      <c r="A34" s="11"/>
      <c r="B34" s="11"/>
      <c r="C34" s="11"/>
      <c r="D34" s="11"/>
      <c r="E34" s="11"/>
      <c r="F34" s="11"/>
      <c r="G34" s="11"/>
      <c r="H34" s="11"/>
      <c r="I34" s="11"/>
      <c r="J34" s="11"/>
      <c r="AD34" s="36" t="s">
        <v>126</v>
      </c>
    </row>
    <row r="35" spans="1:30" ht="19.2" x14ac:dyDescent="0.4">
      <c r="A35" s="12" t="s">
        <v>49</v>
      </c>
      <c r="B35" s="11"/>
      <c r="C35" s="11"/>
      <c r="D35" s="11"/>
      <c r="E35" s="11"/>
      <c r="F35" s="11"/>
      <c r="G35" s="11"/>
      <c r="H35" s="11"/>
      <c r="I35" s="11"/>
      <c r="J35" s="11"/>
      <c r="AD35" s="36"/>
    </row>
    <row r="36" spans="1:30" ht="19.2" x14ac:dyDescent="0.4">
      <c r="A36" s="10" t="s">
        <v>59</v>
      </c>
      <c r="B36" s="11"/>
      <c r="C36" s="11"/>
      <c r="D36" s="11"/>
      <c r="E36" s="11"/>
      <c r="F36" s="11"/>
      <c r="G36" s="11"/>
      <c r="H36" s="11"/>
      <c r="I36" s="11"/>
      <c r="J36" s="11"/>
      <c r="AD36" s="36" t="s">
        <v>127</v>
      </c>
    </row>
    <row r="37" spans="1:30" ht="19.2" x14ac:dyDescent="0.4">
      <c r="A37" s="11" t="s">
        <v>50</v>
      </c>
      <c r="B37" s="11"/>
      <c r="C37" s="11"/>
      <c r="D37" s="11"/>
      <c r="E37" s="11"/>
      <c r="F37" s="11"/>
      <c r="G37" s="11"/>
      <c r="H37" s="11"/>
      <c r="I37" s="11"/>
      <c r="J37" s="11"/>
      <c r="AD37" s="36" t="s">
        <v>128</v>
      </c>
    </row>
    <row r="38" spans="1:30" ht="19.2" x14ac:dyDescent="0.4">
      <c r="A38" s="11"/>
      <c r="B38" s="11"/>
      <c r="C38" s="11"/>
      <c r="D38" s="11"/>
      <c r="E38" s="11"/>
      <c r="F38" s="11"/>
      <c r="G38" s="11"/>
      <c r="H38" s="11"/>
      <c r="I38" s="11"/>
      <c r="J38" s="11"/>
      <c r="AD38" s="36" t="s">
        <v>129</v>
      </c>
    </row>
    <row r="39" spans="1:30" ht="19.2" x14ac:dyDescent="0.4">
      <c r="A39" s="13" t="s">
        <v>52</v>
      </c>
      <c r="B39" s="11"/>
      <c r="C39" s="11"/>
      <c r="D39" s="11"/>
      <c r="E39" s="11"/>
      <c r="F39" s="11"/>
      <c r="G39" s="11"/>
      <c r="H39" s="11"/>
      <c r="I39" s="11"/>
      <c r="J39" s="11"/>
      <c r="AD39" s="36"/>
    </row>
    <row r="40" spans="1:30" ht="19.2" x14ac:dyDescent="0.4">
      <c r="A40" s="11" t="s">
        <v>53</v>
      </c>
      <c r="B40" s="11"/>
      <c r="C40" s="11"/>
      <c r="D40" s="11"/>
      <c r="E40" s="11"/>
      <c r="F40" s="11"/>
      <c r="G40" s="11"/>
      <c r="H40" s="11"/>
      <c r="I40" s="11"/>
      <c r="J40" s="11"/>
      <c r="AD40" s="36" t="s">
        <v>116</v>
      </c>
    </row>
    <row r="41" spans="1:30" ht="19.2" x14ac:dyDescent="0.4">
      <c r="A41" s="11" t="s">
        <v>51</v>
      </c>
      <c r="B41" s="11"/>
      <c r="C41" s="11"/>
      <c r="D41" s="11"/>
      <c r="E41" s="11"/>
      <c r="F41" s="11"/>
      <c r="G41" s="11"/>
      <c r="H41" s="11"/>
      <c r="I41" s="11"/>
      <c r="J41" s="11"/>
      <c r="AD41" s="36" t="s">
        <v>117</v>
      </c>
    </row>
    <row r="42" spans="1:30" ht="19.2" x14ac:dyDescent="0.4">
      <c r="A42" s="11"/>
      <c r="B42" s="11"/>
      <c r="C42" s="11"/>
      <c r="D42" s="11"/>
      <c r="E42" s="11"/>
      <c r="F42" s="11"/>
      <c r="G42" s="11"/>
      <c r="H42" s="11"/>
      <c r="I42" s="11"/>
      <c r="J42" s="11"/>
      <c r="AD42" s="36" t="s">
        <v>130</v>
      </c>
    </row>
    <row r="43" spans="1:30" ht="19.2" x14ac:dyDescent="0.4">
      <c r="A43" s="12" t="s">
        <v>54</v>
      </c>
      <c r="B43" s="11"/>
      <c r="C43" s="11"/>
      <c r="D43" s="11"/>
      <c r="E43" s="11"/>
      <c r="F43" s="11"/>
      <c r="G43" s="11"/>
      <c r="H43" s="11"/>
      <c r="I43" s="11"/>
      <c r="J43" s="11"/>
      <c r="AD43" s="36" t="s">
        <v>131</v>
      </c>
    </row>
    <row r="44" spans="1:30" ht="19.2" x14ac:dyDescent="0.4">
      <c r="A44" s="10" t="s">
        <v>55</v>
      </c>
      <c r="B44" s="11"/>
      <c r="C44" s="11"/>
      <c r="D44" s="11"/>
      <c r="E44" s="11"/>
      <c r="F44" s="11"/>
      <c r="G44" s="11"/>
      <c r="H44" s="11"/>
      <c r="I44" s="11"/>
      <c r="J44" s="11"/>
      <c r="AD44" s="36"/>
    </row>
    <row r="45" spans="1:30" ht="19.2" x14ac:dyDescent="0.4">
      <c r="A45" s="10" t="s">
        <v>60</v>
      </c>
      <c r="B45" s="11"/>
      <c r="C45" s="11"/>
      <c r="D45" s="11"/>
      <c r="E45" s="11"/>
      <c r="F45" s="11"/>
      <c r="G45" s="11"/>
      <c r="H45" s="11"/>
      <c r="I45" s="11"/>
      <c r="J45" s="11"/>
      <c r="AD45" s="36" t="s">
        <v>118</v>
      </c>
    </row>
    <row r="46" spans="1:30" ht="19.2" x14ac:dyDescent="0.4">
      <c r="A46" s="11" t="s">
        <v>56</v>
      </c>
      <c r="B46" s="11"/>
      <c r="C46" s="11"/>
      <c r="D46" s="11"/>
      <c r="E46" s="11"/>
      <c r="F46" s="11"/>
      <c r="G46" s="11"/>
      <c r="H46" s="11"/>
      <c r="I46" s="11"/>
      <c r="J46" s="11"/>
      <c r="AD46" s="36" t="s">
        <v>119</v>
      </c>
    </row>
    <row r="47" spans="1:30" ht="19.2" x14ac:dyDescent="0.4">
      <c r="A47" s="11"/>
      <c r="B47" s="11"/>
      <c r="C47" s="11"/>
      <c r="D47" s="11"/>
      <c r="E47" s="11"/>
      <c r="F47" s="11"/>
      <c r="G47" s="11"/>
      <c r="H47" s="11"/>
      <c r="I47" s="11"/>
      <c r="J47" s="11"/>
      <c r="AD47" s="36"/>
    </row>
    <row r="48" spans="1:30" ht="19.2" x14ac:dyDescent="0.4">
      <c r="A48" s="12" t="s">
        <v>57</v>
      </c>
      <c r="B48" s="11"/>
      <c r="C48" s="11"/>
      <c r="D48" s="11"/>
      <c r="E48" s="11"/>
      <c r="F48" s="11"/>
      <c r="G48" s="11"/>
      <c r="H48" s="11"/>
      <c r="I48" s="11"/>
      <c r="J48" s="11"/>
      <c r="AD48" s="36" t="s">
        <v>112</v>
      </c>
    </row>
    <row r="49" spans="1:30" ht="19.2" x14ac:dyDescent="0.4">
      <c r="A49" s="10" t="s">
        <v>58</v>
      </c>
      <c r="B49" s="11"/>
      <c r="C49" s="11"/>
      <c r="D49" s="11"/>
      <c r="E49" s="11"/>
      <c r="F49" s="11"/>
      <c r="G49" s="11"/>
      <c r="H49" s="11"/>
      <c r="I49" s="11"/>
      <c r="J49" s="11"/>
      <c r="AD49" s="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C7CB-1457-4F74-BFE2-7D270EE07010}">
  <sheetPr>
    <tabColor rgb="FFFFFF00"/>
  </sheetPr>
  <dimension ref="A1:F104"/>
  <sheetViews>
    <sheetView workbookViewId="0">
      <pane ySplit="1" topLeftCell="A2" activePane="bottomLeft" state="frozen"/>
      <selection activeCell="B2" sqref="B2"/>
      <selection pane="bottomLeft" activeCell="B6" sqref="B6"/>
    </sheetView>
  </sheetViews>
  <sheetFormatPr defaultRowHeight="17.399999999999999" x14ac:dyDescent="0.4"/>
  <cols>
    <col min="1" max="1" width="6" style="63" customWidth="1"/>
    <col min="2" max="2" width="22" style="63" customWidth="1"/>
    <col min="3" max="3" width="14" style="63" customWidth="1"/>
    <col min="4" max="5" width="24" style="63" customWidth="1"/>
    <col min="6" max="6" width="16" style="63" customWidth="1"/>
    <col min="7" max="16384" width="8.796875" style="63"/>
  </cols>
  <sheetData>
    <row r="1" spans="1:6" x14ac:dyDescent="0.4">
      <c r="A1" s="62" t="s">
        <v>132</v>
      </c>
      <c r="B1" s="62" t="s">
        <v>133</v>
      </c>
      <c r="C1" s="62" t="s">
        <v>134</v>
      </c>
      <c r="D1" s="62" t="s">
        <v>135</v>
      </c>
      <c r="E1" s="62" t="s">
        <v>136</v>
      </c>
      <c r="F1" s="62" t="s">
        <v>137</v>
      </c>
    </row>
    <row r="2" spans="1:6" x14ac:dyDescent="0.4">
      <c r="A2" s="64">
        <v>1</v>
      </c>
      <c r="B2" s="64" t="s">
        <v>177</v>
      </c>
      <c r="C2" s="64" t="s">
        <v>138</v>
      </c>
      <c r="D2" s="64" t="s">
        <v>139</v>
      </c>
      <c r="E2" s="64" t="s">
        <v>140</v>
      </c>
      <c r="F2" s="64">
        <v>3000</v>
      </c>
    </row>
    <row r="3" spans="1:6" x14ac:dyDescent="0.4">
      <c r="A3" s="64">
        <v>2</v>
      </c>
      <c r="B3" s="64" t="s">
        <v>148</v>
      </c>
      <c r="C3" s="64" t="s">
        <v>138</v>
      </c>
      <c r="D3" s="64" t="s">
        <v>149</v>
      </c>
      <c r="E3" s="64" t="s">
        <v>140</v>
      </c>
      <c r="F3" s="64">
        <v>3000</v>
      </c>
    </row>
    <row r="4" spans="1:6" x14ac:dyDescent="0.4">
      <c r="A4" s="64">
        <v>3</v>
      </c>
      <c r="B4" s="64" t="s">
        <v>175</v>
      </c>
      <c r="C4" s="64" t="s">
        <v>138</v>
      </c>
      <c r="D4" s="64" t="s">
        <v>176</v>
      </c>
      <c r="E4" s="64" t="s">
        <v>140</v>
      </c>
      <c r="F4" s="64">
        <v>3000</v>
      </c>
    </row>
    <row r="5" spans="1:6" x14ac:dyDescent="0.4">
      <c r="A5" s="64">
        <v>4</v>
      </c>
      <c r="B5" s="64" t="s">
        <v>175</v>
      </c>
      <c r="C5" s="64" t="s">
        <v>138</v>
      </c>
      <c r="D5" s="64" t="s">
        <v>178</v>
      </c>
      <c r="E5" s="64" t="s">
        <v>140</v>
      </c>
      <c r="F5" s="64"/>
    </row>
    <row r="6" spans="1:6" x14ac:dyDescent="0.4">
      <c r="A6" s="64">
        <v>5</v>
      </c>
      <c r="B6" s="64"/>
      <c r="C6" s="64" t="s">
        <v>138</v>
      </c>
      <c r="D6" s="64" t="s">
        <v>141</v>
      </c>
      <c r="E6" s="64" t="s">
        <v>140</v>
      </c>
      <c r="F6" s="64"/>
    </row>
    <row r="7" spans="1:6" x14ac:dyDescent="0.4">
      <c r="A7" s="64">
        <v>6</v>
      </c>
      <c r="B7" s="64"/>
      <c r="C7" s="64" t="s">
        <v>138</v>
      </c>
      <c r="D7" s="64" t="s">
        <v>141</v>
      </c>
      <c r="E7" s="64" t="s">
        <v>140</v>
      </c>
      <c r="F7" s="64"/>
    </row>
    <row r="8" spans="1:6" x14ac:dyDescent="0.4">
      <c r="A8" s="64">
        <v>7</v>
      </c>
      <c r="B8" s="64"/>
      <c r="C8" s="64" t="s">
        <v>138</v>
      </c>
      <c r="D8" s="64" t="s">
        <v>141</v>
      </c>
      <c r="E8" s="64" t="s">
        <v>140</v>
      </c>
      <c r="F8" s="64"/>
    </row>
    <row r="9" spans="1:6" x14ac:dyDescent="0.4">
      <c r="A9" s="64">
        <v>8</v>
      </c>
      <c r="B9" s="64"/>
      <c r="C9" s="64" t="s">
        <v>138</v>
      </c>
      <c r="D9" s="64" t="s">
        <v>141</v>
      </c>
      <c r="E9" s="64" t="s">
        <v>140</v>
      </c>
      <c r="F9" s="64"/>
    </row>
    <row r="10" spans="1:6" x14ac:dyDescent="0.4">
      <c r="A10" s="64">
        <v>9</v>
      </c>
      <c r="B10" s="64"/>
      <c r="C10" s="64" t="s">
        <v>138</v>
      </c>
      <c r="D10" s="64" t="s">
        <v>141</v>
      </c>
      <c r="E10" s="64" t="s">
        <v>140</v>
      </c>
      <c r="F10" s="64"/>
    </row>
    <row r="11" spans="1:6" x14ac:dyDescent="0.4">
      <c r="A11" s="64">
        <v>10</v>
      </c>
      <c r="B11" s="64"/>
      <c r="C11" s="64" t="s">
        <v>138</v>
      </c>
      <c r="D11" s="64" t="s">
        <v>141</v>
      </c>
      <c r="E11" s="64" t="s">
        <v>140</v>
      </c>
      <c r="F11" s="64"/>
    </row>
    <row r="12" spans="1:6" x14ac:dyDescent="0.4">
      <c r="A12" s="64">
        <v>11</v>
      </c>
      <c r="B12" s="64"/>
      <c r="C12" s="64" t="s">
        <v>138</v>
      </c>
      <c r="D12" s="64" t="s">
        <v>141</v>
      </c>
      <c r="E12" s="64" t="s">
        <v>140</v>
      </c>
      <c r="F12" s="64"/>
    </row>
    <row r="13" spans="1:6" x14ac:dyDescent="0.4">
      <c r="A13" s="64">
        <v>12</v>
      </c>
      <c r="B13" s="64"/>
      <c r="C13" s="64" t="s">
        <v>138</v>
      </c>
      <c r="D13" s="64" t="s">
        <v>141</v>
      </c>
      <c r="E13" s="64" t="s">
        <v>140</v>
      </c>
      <c r="F13" s="64"/>
    </row>
    <row r="14" spans="1:6" x14ac:dyDescent="0.4">
      <c r="A14" s="64">
        <v>13</v>
      </c>
      <c r="B14" s="64"/>
      <c r="C14" s="64" t="s">
        <v>138</v>
      </c>
      <c r="D14" s="64" t="s">
        <v>141</v>
      </c>
      <c r="E14" s="64" t="s">
        <v>140</v>
      </c>
      <c r="F14" s="64"/>
    </row>
    <row r="15" spans="1:6" x14ac:dyDescent="0.4">
      <c r="A15" s="64">
        <v>14</v>
      </c>
      <c r="B15" s="64"/>
      <c r="C15" s="64" t="s">
        <v>138</v>
      </c>
      <c r="D15" s="64" t="s">
        <v>141</v>
      </c>
      <c r="E15" s="64" t="s">
        <v>140</v>
      </c>
      <c r="F15" s="64"/>
    </row>
    <row r="16" spans="1:6" x14ac:dyDescent="0.4">
      <c r="A16" s="64">
        <v>15</v>
      </c>
      <c r="B16" s="64"/>
      <c r="C16" s="64" t="s">
        <v>138</v>
      </c>
      <c r="D16" s="64" t="s">
        <v>141</v>
      </c>
      <c r="E16" s="64" t="s">
        <v>140</v>
      </c>
      <c r="F16" s="64"/>
    </row>
    <row r="17" spans="1:6" x14ac:dyDescent="0.4">
      <c r="A17" s="64">
        <v>16</v>
      </c>
      <c r="B17" s="64"/>
      <c r="C17" s="64" t="s">
        <v>138</v>
      </c>
      <c r="D17" s="64" t="s">
        <v>141</v>
      </c>
      <c r="E17" s="64" t="s">
        <v>140</v>
      </c>
      <c r="F17" s="64"/>
    </row>
    <row r="18" spans="1:6" x14ac:dyDescent="0.4">
      <c r="A18" s="64">
        <v>17</v>
      </c>
      <c r="B18" s="64"/>
      <c r="C18" s="64" t="s">
        <v>138</v>
      </c>
      <c r="D18" s="64" t="s">
        <v>141</v>
      </c>
      <c r="E18" s="64" t="s">
        <v>140</v>
      </c>
      <c r="F18" s="64"/>
    </row>
    <row r="19" spans="1:6" x14ac:dyDescent="0.4">
      <c r="A19" s="64">
        <v>18</v>
      </c>
      <c r="B19" s="64"/>
      <c r="C19" s="64" t="s">
        <v>138</v>
      </c>
      <c r="D19" s="64" t="s">
        <v>141</v>
      </c>
      <c r="E19" s="64" t="s">
        <v>140</v>
      </c>
      <c r="F19" s="64"/>
    </row>
    <row r="20" spans="1:6" x14ac:dyDescent="0.4">
      <c r="A20" s="64">
        <v>19</v>
      </c>
      <c r="B20" s="64"/>
      <c r="C20" s="64" t="s">
        <v>138</v>
      </c>
      <c r="D20" s="64" t="s">
        <v>141</v>
      </c>
      <c r="E20" s="64" t="s">
        <v>140</v>
      </c>
      <c r="F20" s="64"/>
    </row>
    <row r="21" spans="1:6" x14ac:dyDescent="0.4">
      <c r="A21" s="64">
        <v>20</v>
      </c>
      <c r="B21" s="64"/>
      <c r="C21" s="64" t="s">
        <v>138</v>
      </c>
      <c r="D21" s="64" t="s">
        <v>141</v>
      </c>
      <c r="E21" s="64" t="s">
        <v>140</v>
      </c>
      <c r="F21" s="64"/>
    </row>
    <row r="22" spans="1:6" x14ac:dyDescent="0.4">
      <c r="A22" s="64">
        <v>21</v>
      </c>
      <c r="B22" s="64"/>
      <c r="C22" s="64" t="s">
        <v>138</v>
      </c>
      <c r="D22" s="64" t="s">
        <v>141</v>
      </c>
      <c r="E22" s="64" t="s">
        <v>140</v>
      </c>
      <c r="F22" s="64"/>
    </row>
    <row r="23" spans="1:6" x14ac:dyDescent="0.4">
      <c r="A23" s="64">
        <v>22</v>
      </c>
      <c r="B23" s="64"/>
      <c r="C23" s="64" t="s">
        <v>138</v>
      </c>
      <c r="D23" s="64" t="s">
        <v>141</v>
      </c>
      <c r="E23" s="64" t="s">
        <v>140</v>
      </c>
      <c r="F23" s="64"/>
    </row>
    <row r="24" spans="1:6" x14ac:dyDescent="0.4">
      <c r="A24" s="64">
        <v>23</v>
      </c>
      <c r="B24" s="64"/>
      <c r="C24" s="64" t="s">
        <v>138</v>
      </c>
      <c r="D24" s="64" t="s">
        <v>141</v>
      </c>
      <c r="E24" s="64" t="s">
        <v>140</v>
      </c>
      <c r="F24" s="64"/>
    </row>
    <row r="25" spans="1:6" x14ac:dyDescent="0.4">
      <c r="A25" s="64">
        <v>24</v>
      </c>
      <c r="B25" s="64"/>
      <c r="C25" s="64" t="s">
        <v>138</v>
      </c>
      <c r="D25" s="64" t="s">
        <v>141</v>
      </c>
      <c r="E25" s="64" t="s">
        <v>140</v>
      </c>
      <c r="F25" s="64"/>
    </row>
    <row r="26" spans="1:6" x14ac:dyDescent="0.4">
      <c r="A26" s="64">
        <v>25</v>
      </c>
      <c r="B26" s="64"/>
      <c r="C26" s="64" t="s">
        <v>138</v>
      </c>
      <c r="D26" s="64" t="s">
        <v>141</v>
      </c>
      <c r="E26" s="64" t="s">
        <v>140</v>
      </c>
      <c r="F26" s="64"/>
    </row>
    <row r="27" spans="1:6" x14ac:dyDescent="0.4">
      <c r="A27" s="64">
        <v>26</v>
      </c>
      <c r="B27" s="64"/>
      <c r="C27" s="64" t="s">
        <v>138</v>
      </c>
      <c r="D27" s="64" t="s">
        <v>141</v>
      </c>
      <c r="E27" s="64" t="s">
        <v>140</v>
      </c>
      <c r="F27" s="64"/>
    </row>
    <row r="28" spans="1:6" x14ac:dyDescent="0.4">
      <c r="A28" s="64">
        <v>27</v>
      </c>
      <c r="B28" s="64"/>
      <c r="C28" s="64" t="s">
        <v>138</v>
      </c>
      <c r="D28" s="64" t="s">
        <v>141</v>
      </c>
      <c r="E28" s="64" t="s">
        <v>140</v>
      </c>
      <c r="F28" s="64"/>
    </row>
    <row r="29" spans="1:6" x14ac:dyDescent="0.4">
      <c r="A29" s="64">
        <v>28</v>
      </c>
      <c r="B29" s="64"/>
      <c r="C29" s="64" t="s">
        <v>138</v>
      </c>
      <c r="D29" s="64" t="s">
        <v>141</v>
      </c>
      <c r="E29" s="64" t="s">
        <v>140</v>
      </c>
      <c r="F29" s="64"/>
    </row>
    <row r="30" spans="1:6" x14ac:dyDescent="0.4">
      <c r="A30" s="64">
        <v>29</v>
      </c>
      <c r="B30" s="64"/>
      <c r="C30" s="64" t="s">
        <v>138</v>
      </c>
      <c r="D30" s="64" t="s">
        <v>141</v>
      </c>
      <c r="E30" s="64" t="s">
        <v>140</v>
      </c>
      <c r="F30" s="64"/>
    </row>
    <row r="31" spans="1:6" x14ac:dyDescent="0.4">
      <c r="A31" s="64">
        <v>30</v>
      </c>
      <c r="B31" s="64"/>
      <c r="C31" s="64" t="s">
        <v>138</v>
      </c>
      <c r="D31" s="64" t="s">
        <v>141</v>
      </c>
      <c r="E31" s="64" t="s">
        <v>140</v>
      </c>
      <c r="F31" s="64"/>
    </row>
    <row r="32" spans="1:6" x14ac:dyDescent="0.4">
      <c r="A32" s="64">
        <v>31</v>
      </c>
      <c r="B32" s="64"/>
      <c r="C32" s="64" t="s">
        <v>138</v>
      </c>
      <c r="D32" s="64" t="s">
        <v>141</v>
      </c>
      <c r="E32" s="64" t="s">
        <v>140</v>
      </c>
      <c r="F32" s="64"/>
    </row>
    <row r="33" spans="1:6" x14ac:dyDescent="0.4">
      <c r="A33" s="64">
        <v>32</v>
      </c>
      <c r="B33" s="64"/>
      <c r="C33" s="64" t="s">
        <v>138</v>
      </c>
      <c r="D33" s="64" t="s">
        <v>141</v>
      </c>
      <c r="E33" s="64" t="s">
        <v>140</v>
      </c>
      <c r="F33" s="64"/>
    </row>
    <row r="34" spans="1:6" x14ac:dyDescent="0.4">
      <c r="A34" s="64">
        <v>33</v>
      </c>
      <c r="B34" s="64"/>
      <c r="C34" s="64" t="s">
        <v>138</v>
      </c>
      <c r="D34" s="64" t="s">
        <v>141</v>
      </c>
      <c r="E34" s="64" t="s">
        <v>140</v>
      </c>
      <c r="F34" s="64"/>
    </row>
    <row r="35" spans="1:6" x14ac:dyDescent="0.4">
      <c r="A35" s="64">
        <v>34</v>
      </c>
      <c r="B35" s="64"/>
      <c r="C35" s="64" t="s">
        <v>138</v>
      </c>
      <c r="D35" s="64" t="s">
        <v>141</v>
      </c>
      <c r="E35" s="64" t="s">
        <v>140</v>
      </c>
      <c r="F35" s="64"/>
    </row>
    <row r="36" spans="1:6" x14ac:dyDescent="0.4">
      <c r="A36" s="64">
        <v>35</v>
      </c>
      <c r="B36" s="64"/>
      <c r="C36" s="64" t="s">
        <v>138</v>
      </c>
      <c r="D36" s="64" t="s">
        <v>141</v>
      </c>
      <c r="E36" s="64" t="s">
        <v>140</v>
      </c>
      <c r="F36" s="64"/>
    </row>
    <row r="37" spans="1:6" x14ac:dyDescent="0.4">
      <c r="A37" s="64">
        <v>36</v>
      </c>
      <c r="B37" s="64"/>
      <c r="C37" s="64" t="s">
        <v>138</v>
      </c>
      <c r="D37" s="64" t="s">
        <v>141</v>
      </c>
      <c r="E37" s="64" t="s">
        <v>140</v>
      </c>
      <c r="F37" s="64"/>
    </row>
    <row r="38" spans="1:6" x14ac:dyDescent="0.4">
      <c r="A38" s="64">
        <v>37</v>
      </c>
      <c r="B38" s="64"/>
      <c r="C38" s="64" t="s">
        <v>138</v>
      </c>
      <c r="D38" s="64" t="s">
        <v>141</v>
      </c>
      <c r="E38" s="64" t="s">
        <v>140</v>
      </c>
      <c r="F38" s="64"/>
    </row>
    <row r="39" spans="1:6" x14ac:dyDescent="0.4">
      <c r="A39" s="64">
        <v>38</v>
      </c>
      <c r="B39" s="64"/>
      <c r="C39" s="64" t="s">
        <v>138</v>
      </c>
      <c r="D39" s="64" t="s">
        <v>141</v>
      </c>
      <c r="E39" s="64" t="s">
        <v>140</v>
      </c>
      <c r="F39" s="64"/>
    </row>
    <row r="40" spans="1:6" x14ac:dyDescent="0.4">
      <c r="A40" s="64">
        <v>39</v>
      </c>
      <c r="B40" s="64"/>
      <c r="C40" s="64" t="s">
        <v>138</v>
      </c>
      <c r="D40" s="64" t="s">
        <v>141</v>
      </c>
      <c r="E40" s="64" t="s">
        <v>140</v>
      </c>
      <c r="F40" s="64"/>
    </row>
    <row r="41" spans="1:6" x14ac:dyDescent="0.4">
      <c r="A41" s="64">
        <v>40</v>
      </c>
      <c r="B41" s="64"/>
      <c r="C41" s="64" t="s">
        <v>138</v>
      </c>
      <c r="D41" s="64" t="s">
        <v>141</v>
      </c>
      <c r="E41" s="64" t="s">
        <v>140</v>
      </c>
      <c r="F41" s="64"/>
    </row>
    <row r="42" spans="1:6" x14ac:dyDescent="0.4">
      <c r="A42" s="64">
        <v>41</v>
      </c>
      <c r="B42" s="64"/>
      <c r="C42" s="64" t="s">
        <v>138</v>
      </c>
      <c r="D42" s="64" t="s">
        <v>141</v>
      </c>
      <c r="E42" s="64" t="s">
        <v>140</v>
      </c>
      <c r="F42" s="64"/>
    </row>
    <row r="43" spans="1:6" x14ac:dyDescent="0.4">
      <c r="A43" s="64">
        <v>42</v>
      </c>
      <c r="B43" s="64"/>
      <c r="C43" s="64" t="s">
        <v>138</v>
      </c>
      <c r="D43" s="64" t="s">
        <v>141</v>
      </c>
      <c r="E43" s="64" t="s">
        <v>140</v>
      </c>
      <c r="F43" s="64"/>
    </row>
    <row r="44" spans="1:6" x14ac:dyDescent="0.4">
      <c r="A44" s="64">
        <v>43</v>
      </c>
      <c r="B44" s="64"/>
      <c r="C44" s="64" t="s">
        <v>138</v>
      </c>
      <c r="D44" s="64" t="s">
        <v>141</v>
      </c>
      <c r="E44" s="64" t="s">
        <v>140</v>
      </c>
      <c r="F44" s="64"/>
    </row>
    <row r="45" spans="1:6" x14ac:dyDescent="0.4">
      <c r="A45" s="64">
        <v>44</v>
      </c>
      <c r="B45" s="64"/>
      <c r="C45" s="64" t="s">
        <v>138</v>
      </c>
      <c r="D45" s="64" t="s">
        <v>141</v>
      </c>
      <c r="E45" s="64" t="s">
        <v>140</v>
      </c>
      <c r="F45" s="64"/>
    </row>
    <row r="46" spans="1:6" x14ac:dyDescent="0.4">
      <c r="A46" s="64">
        <v>45</v>
      </c>
      <c r="B46" s="64"/>
      <c r="C46" s="64" t="s">
        <v>138</v>
      </c>
      <c r="D46" s="64" t="s">
        <v>141</v>
      </c>
      <c r="E46" s="64" t="s">
        <v>140</v>
      </c>
      <c r="F46" s="64"/>
    </row>
    <row r="47" spans="1:6" x14ac:dyDescent="0.4">
      <c r="A47" s="64">
        <v>46</v>
      </c>
      <c r="B47" s="64"/>
      <c r="C47" s="64" t="s">
        <v>138</v>
      </c>
      <c r="D47" s="64" t="s">
        <v>141</v>
      </c>
      <c r="E47" s="64" t="s">
        <v>140</v>
      </c>
      <c r="F47" s="64"/>
    </row>
    <row r="48" spans="1:6" x14ac:dyDescent="0.4">
      <c r="A48" s="64">
        <v>47</v>
      </c>
      <c r="B48" s="64"/>
      <c r="C48" s="64" t="s">
        <v>138</v>
      </c>
      <c r="D48" s="64" t="s">
        <v>141</v>
      </c>
      <c r="E48" s="64" t="s">
        <v>140</v>
      </c>
      <c r="F48" s="64"/>
    </row>
    <row r="49" spans="1:6" x14ac:dyDescent="0.4">
      <c r="A49" s="64">
        <v>48</v>
      </c>
      <c r="B49" s="64"/>
      <c r="C49" s="64" t="s">
        <v>138</v>
      </c>
      <c r="D49" s="64" t="s">
        <v>141</v>
      </c>
      <c r="E49" s="64" t="s">
        <v>140</v>
      </c>
      <c r="F49" s="64"/>
    </row>
    <row r="50" spans="1:6" x14ac:dyDescent="0.4">
      <c r="A50" s="64">
        <v>49</v>
      </c>
      <c r="B50" s="64"/>
      <c r="C50" s="64" t="s">
        <v>138</v>
      </c>
      <c r="D50" s="64" t="s">
        <v>141</v>
      </c>
      <c r="E50" s="64" t="s">
        <v>140</v>
      </c>
      <c r="F50" s="64"/>
    </row>
    <row r="51" spans="1:6" x14ac:dyDescent="0.4">
      <c r="A51" s="64">
        <v>50</v>
      </c>
      <c r="B51" s="64"/>
      <c r="C51" s="64" t="s">
        <v>138</v>
      </c>
      <c r="D51" s="64" t="s">
        <v>141</v>
      </c>
      <c r="E51" s="64" t="s">
        <v>140</v>
      </c>
      <c r="F51" s="64"/>
    </row>
    <row r="52" spans="1:6" x14ac:dyDescent="0.4">
      <c r="A52" s="64">
        <v>51</v>
      </c>
      <c r="B52" s="64"/>
      <c r="C52" s="64" t="s">
        <v>138</v>
      </c>
      <c r="D52" s="64" t="s">
        <v>141</v>
      </c>
      <c r="E52" s="64" t="s">
        <v>140</v>
      </c>
      <c r="F52" s="64"/>
    </row>
    <row r="53" spans="1:6" x14ac:dyDescent="0.4">
      <c r="A53" s="64">
        <v>52</v>
      </c>
      <c r="B53" s="64"/>
      <c r="C53" s="64" t="s">
        <v>138</v>
      </c>
      <c r="D53" s="64" t="s">
        <v>141</v>
      </c>
      <c r="E53" s="64" t="s">
        <v>140</v>
      </c>
      <c r="F53" s="64"/>
    </row>
    <row r="54" spans="1:6" x14ac:dyDescent="0.4">
      <c r="A54" s="64">
        <v>53</v>
      </c>
      <c r="B54" s="64"/>
      <c r="C54" s="64" t="s">
        <v>138</v>
      </c>
      <c r="D54" s="64" t="s">
        <v>141</v>
      </c>
      <c r="E54" s="64" t="s">
        <v>140</v>
      </c>
      <c r="F54" s="64"/>
    </row>
    <row r="55" spans="1:6" x14ac:dyDescent="0.4">
      <c r="A55" s="64">
        <v>54</v>
      </c>
      <c r="B55" s="64"/>
      <c r="C55" s="64" t="s">
        <v>138</v>
      </c>
      <c r="D55" s="64" t="s">
        <v>141</v>
      </c>
      <c r="E55" s="64" t="s">
        <v>140</v>
      </c>
      <c r="F55" s="64"/>
    </row>
    <row r="56" spans="1:6" x14ac:dyDescent="0.4">
      <c r="A56" s="64">
        <v>55</v>
      </c>
      <c r="B56" s="64"/>
      <c r="C56" s="64" t="s">
        <v>138</v>
      </c>
      <c r="D56" s="64" t="s">
        <v>141</v>
      </c>
      <c r="E56" s="64" t="s">
        <v>140</v>
      </c>
      <c r="F56" s="64"/>
    </row>
    <row r="57" spans="1:6" x14ac:dyDescent="0.4">
      <c r="A57" s="64">
        <v>56</v>
      </c>
      <c r="B57" s="64"/>
      <c r="C57" s="64" t="s">
        <v>138</v>
      </c>
      <c r="D57" s="64" t="s">
        <v>141</v>
      </c>
      <c r="E57" s="64" t="s">
        <v>140</v>
      </c>
      <c r="F57" s="64"/>
    </row>
    <row r="58" spans="1:6" x14ac:dyDescent="0.4">
      <c r="A58" s="64">
        <v>57</v>
      </c>
      <c r="B58" s="64"/>
      <c r="C58" s="64" t="s">
        <v>138</v>
      </c>
      <c r="D58" s="64" t="s">
        <v>141</v>
      </c>
      <c r="E58" s="64" t="s">
        <v>140</v>
      </c>
      <c r="F58" s="64"/>
    </row>
    <row r="59" spans="1:6" x14ac:dyDescent="0.4">
      <c r="A59" s="64">
        <v>58</v>
      </c>
      <c r="B59" s="64"/>
      <c r="C59" s="64" t="s">
        <v>138</v>
      </c>
      <c r="D59" s="64" t="s">
        <v>141</v>
      </c>
      <c r="E59" s="64" t="s">
        <v>140</v>
      </c>
      <c r="F59" s="64"/>
    </row>
    <row r="60" spans="1:6" x14ac:dyDescent="0.4">
      <c r="A60" s="64">
        <v>59</v>
      </c>
      <c r="B60" s="64"/>
      <c r="C60" s="64" t="s">
        <v>138</v>
      </c>
      <c r="D60" s="64" t="s">
        <v>141</v>
      </c>
      <c r="E60" s="64" t="s">
        <v>140</v>
      </c>
      <c r="F60" s="64"/>
    </row>
    <row r="61" spans="1:6" x14ac:dyDescent="0.4">
      <c r="A61" s="64">
        <v>60</v>
      </c>
      <c r="B61" s="64"/>
      <c r="C61" s="64" t="s">
        <v>138</v>
      </c>
      <c r="D61" s="64" t="s">
        <v>141</v>
      </c>
      <c r="E61" s="64" t="s">
        <v>140</v>
      </c>
      <c r="F61" s="64"/>
    </row>
    <row r="62" spans="1:6" x14ac:dyDescent="0.4">
      <c r="A62" s="64">
        <v>61</v>
      </c>
      <c r="B62" s="64"/>
      <c r="C62" s="64" t="s">
        <v>138</v>
      </c>
      <c r="D62" s="64" t="s">
        <v>141</v>
      </c>
      <c r="E62" s="64" t="s">
        <v>140</v>
      </c>
      <c r="F62" s="64"/>
    </row>
    <row r="63" spans="1:6" x14ac:dyDescent="0.4">
      <c r="A63" s="64">
        <v>62</v>
      </c>
      <c r="B63" s="64"/>
      <c r="C63" s="64" t="s">
        <v>138</v>
      </c>
      <c r="D63" s="64" t="s">
        <v>141</v>
      </c>
      <c r="E63" s="64" t="s">
        <v>140</v>
      </c>
      <c r="F63" s="64"/>
    </row>
    <row r="64" spans="1:6" x14ac:dyDescent="0.4">
      <c r="A64" s="64">
        <v>63</v>
      </c>
      <c r="B64" s="64"/>
      <c r="C64" s="64" t="s">
        <v>138</v>
      </c>
      <c r="D64" s="64" t="s">
        <v>141</v>
      </c>
      <c r="E64" s="64" t="s">
        <v>140</v>
      </c>
      <c r="F64" s="64"/>
    </row>
    <row r="65" spans="1:6" x14ac:dyDescent="0.4">
      <c r="A65" s="64">
        <v>64</v>
      </c>
      <c r="B65" s="64"/>
      <c r="C65" s="64" t="s">
        <v>138</v>
      </c>
      <c r="D65" s="64" t="s">
        <v>141</v>
      </c>
      <c r="E65" s="64" t="s">
        <v>140</v>
      </c>
      <c r="F65" s="64"/>
    </row>
    <row r="66" spans="1:6" x14ac:dyDescent="0.4">
      <c r="A66" s="64">
        <v>65</v>
      </c>
      <c r="B66" s="64"/>
      <c r="C66" s="64" t="s">
        <v>138</v>
      </c>
      <c r="D66" s="64" t="s">
        <v>141</v>
      </c>
      <c r="E66" s="64" t="s">
        <v>140</v>
      </c>
      <c r="F66" s="64"/>
    </row>
    <row r="67" spans="1:6" x14ac:dyDescent="0.4">
      <c r="A67" s="64">
        <v>66</v>
      </c>
      <c r="B67" s="64"/>
      <c r="C67" s="64" t="s">
        <v>138</v>
      </c>
      <c r="D67" s="64" t="s">
        <v>141</v>
      </c>
      <c r="E67" s="64" t="s">
        <v>140</v>
      </c>
      <c r="F67" s="64"/>
    </row>
    <row r="68" spans="1:6" x14ac:dyDescent="0.4">
      <c r="A68" s="64">
        <v>67</v>
      </c>
      <c r="B68" s="64"/>
      <c r="C68" s="64" t="s">
        <v>138</v>
      </c>
      <c r="D68" s="64" t="s">
        <v>141</v>
      </c>
      <c r="E68" s="64" t="s">
        <v>140</v>
      </c>
      <c r="F68" s="64"/>
    </row>
    <row r="69" spans="1:6" x14ac:dyDescent="0.4">
      <c r="A69" s="64">
        <v>68</v>
      </c>
      <c r="B69" s="64"/>
      <c r="C69" s="64" t="s">
        <v>138</v>
      </c>
      <c r="D69" s="64" t="s">
        <v>141</v>
      </c>
      <c r="E69" s="64" t="s">
        <v>140</v>
      </c>
      <c r="F69" s="64"/>
    </row>
    <row r="70" spans="1:6" x14ac:dyDescent="0.4">
      <c r="A70" s="64">
        <v>69</v>
      </c>
      <c r="B70" s="64"/>
      <c r="C70" s="64" t="s">
        <v>138</v>
      </c>
      <c r="D70" s="64" t="s">
        <v>141</v>
      </c>
      <c r="E70" s="64" t="s">
        <v>140</v>
      </c>
      <c r="F70" s="64"/>
    </row>
    <row r="71" spans="1:6" x14ac:dyDescent="0.4">
      <c r="A71" s="64">
        <v>70</v>
      </c>
      <c r="B71" s="64"/>
      <c r="C71" s="64" t="s">
        <v>138</v>
      </c>
      <c r="D71" s="64" t="s">
        <v>141</v>
      </c>
      <c r="E71" s="64" t="s">
        <v>140</v>
      </c>
      <c r="F71" s="64"/>
    </row>
    <row r="72" spans="1:6" x14ac:dyDescent="0.4">
      <c r="A72" s="64">
        <v>71</v>
      </c>
      <c r="B72" s="64"/>
      <c r="C72" s="64" t="s">
        <v>138</v>
      </c>
      <c r="D72" s="64" t="s">
        <v>141</v>
      </c>
      <c r="E72" s="64" t="s">
        <v>140</v>
      </c>
      <c r="F72" s="64"/>
    </row>
    <row r="73" spans="1:6" x14ac:dyDescent="0.4">
      <c r="A73" s="64">
        <v>72</v>
      </c>
      <c r="B73" s="64"/>
      <c r="C73" s="64" t="s">
        <v>138</v>
      </c>
      <c r="D73" s="64" t="s">
        <v>141</v>
      </c>
      <c r="E73" s="64" t="s">
        <v>140</v>
      </c>
      <c r="F73" s="64"/>
    </row>
    <row r="74" spans="1:6" x14ac:dyDescent="0.4">
      <c r="A74" s="64">
        <v>73</v>
      </c>
      <c r="B74" s="64"/>
      <c r="C74" s="64" t="s">
        <v>138</v>
      </c>
      <c r="D74" s="64" t="s">
        <v>141</v>
      </c>
      <c r="E74" s="64" t="s">
        <v>140</v>
      </c>
      <c r="F74" s="64"/>
    </row>
    <row r="75" spans="1:6" x14ac:dyDescent="0.4">
      <c r="A75" s="64">
        <v>74</v>
      </c>
      <c r="B75" s="64"/>
      <c r="C75" s="64" t="s">
        <v>138</v>
      </c>
      <c r="D75" s="64" t="s">
        <v>141</v>
      </c>
      <c r="E75" s="64" t="s">
        <v>140</v>
      </c>
      <c r="F75" s="64"/>
    </row>
    <row r="76" spans="1:6" x14ac:dyDescent="0.4">
      <c r="A76" s="64">
        <v>75</v>
      </c>
      <c r="B76" s="64"/>
      <c r="C76" s="64" t="s">
        <v>138</v>
      </c>
      <c r="D76" s="64" t="s">
        <v>141</v>
      </c>
      <c r="E76" s="64" t="s">
        <v>140</v>
      </c>
      <c r="F76" s="64"/>
    </row>
    <row r="77" spans="1:6" x14ac:dyDescent="0.4">
      <c r="A77" s="64">
        <v>76</v>
      </c>
      <c r="B77" s="64"/>
      <c r="C77" s="64" t="s">
        <v>138</v>
      </c>
      <c r="D77" s="64" t="s">
        <v>141</v>
      </c>
      <c r="E77" s="64" t="s">
        <v>140</v>
      </c>
      <c r="F77" s="64"/>
    </row>
    <row r="78" spans="1:6" x14ac:dyDescent="0.4">
      <c r="A78" s="64">
        <v>77</v>
      </c>
      <c r="B78" s="64"/>
      <c r="C78" s="64" t="s">
        <v>138</v>
      </c>
      <c r="D78" s="64" t="s">
        <v>141</v>
      </c>
      <c r="E78" s="64" t="s">
        <v>140</v>
      </c>
      <c r="F78" s="64"/>
    </row>
    <row r="79" spans="1:6" x14ac:dyDescent="0.4">
      <c r="A79" s="64">
        <v>78</v>
      </c>
      <c r="B79" s="64"/>
      <c r="C79" s="64" t="s">
        <v>138</v>
      </c>
      <c r="D79" s="64" t="s">
        <v>141</v>
      </c>
      <c r="E79" s="64" t="s">
        <v>140</v>
      </c>
      <c r="F79" s="64"/>
    </row>
    <row r="80" spans="1:6" x14ac:dyDescent="0.4">
      <c r="A80" s="64">
        <v>79</v>
      </c>
      <c r="B80" s="64"/>
      <c r="C80" s="64" t="s">
        <v>138</v>
      </c>
      <c r="D80" s="64" t="s">
        <v>141</v>
      </c>
      <c r="E80" s="64" t="s">
        <v>140</v>
      </c>
      <c r="F80" s="64"/>
    </row>
    <row r="81" spans="1:6" x14ac:dyDescent="0.4">
      <c r="A81" s="64">
        <v>80</v>
      </c>
      <c r="B81" s="64"/>
      <c r="C81" s="64" t="s">
        <v>138</v>
      </c>
      <c r="D81" s="64" t="s">
        <v>141</v>
      </c>
      <c r="E81" s="64" t="s">
        <v>140</v>
      </c>
      <c r="F81" s="64"/>
    </row>
    <row r="82" spans="1:6" x14ac:dyDescent="0.4">
      <c r="A82" s="64">
        <v>81</v>
      </c>
      <c r="B82" s="64"/>
      <c r="C82" s="64" t="s">
        <v>138</v>
      </c>
      <c r="D82" s="64" t="s">
        <v>141</v>
      </c>
      <c r="E82" s="64" t="s">
        <v>140</v>
      </c>
      <c r="F82" s="64"/>
    </row>
    <row r="83" spans="1:6" x14ac:dyDescent="0.4">
      <c r="A83" s="64">
        <v>82</v>
      </c>
      <c r="B83" s="64"/>
      <c r="C83" s="64" t="s">
        <v>138</v>
      </c>
      <c r="D83" s="64" t="s">
        <v>141</v>
      </c>
      <c r="E83" s="64" t="s">
        <v>140</v>
      </c>
      <c r="F83" s="64"/>
    </row>
    <row r="84" spans="1:6" x14ac:dyDescent="0.4">
      <c r="A84" s="64">
        <v>83</v>
      </c>
      <c r="B84" s="64"/>
      <c r="C84" s="64" t="s">
        <v>138</v>
      </c>
      <c r="D84" s="64" t="s">
        <v>141</v>
      </c>
      <c r="E84" s="64" t="s">
        <v>140</v>
      </c>
      <c r="F84" s="64"/>
    </row>
    <row r="85" spans="1:6" x14ac:dyDescent="0.4">
      <c r="A85" s="64">
        <v>84</v>
      </c>
      <c r="B85" s="64"/>
      <c r="C85" s="64" t="s">
        <v>138</v>
      </c>
      <c r="D85" s="64" t="s">
        <v>141</v>
      </c>
      <c r="E85" s="64" t="s">
        <v>140</v>
      </c>
      <c r="F85" s="64"/>
    </row>
    <row r="86" spans="1:6" x14ac:dyDescent="0.4">
      <c r="A86" s="64">
        <v>85</v>
      </c>
      <c r="B86" s="64"/>
      <c r="C86" s="64" t="s">
        <v>138</v>
      </c>
      <c r="D86" s="64" t="s">
        <v>141</v>
      </c>
      <c r="E86" s="64" t="s">
        <v>140</v>
      </c>
      <c r="F86" s="64"/>
    </row>
    <row r="87" spans="1:6" x14ac:dyDescent="0.4">
      <c r="A87" s="64">
        <v>86</v>
      </c>
      <c r="B87" s="64"/>
      <c r="C87" s="64" t="s">
        <v>138</v>
      </c>
      <c r="D87" s="64" t="s">
        <v>141</v>
      </c>
      <c r="E87" s="64" t="s">
        <v>140</v>
      </c>
      <c r="F87" s="64"/>
    </row>
    <row r="88" spans="1:6" x14ac:dyDescent="0.4">
      <c r="A88" s="64">
        <v>87</v>
      </c>
      <c r="B88" s="64"/>
      <c r="C88" s="64" t="s">
        <v>138</v>
      </c>
      <c r="D88" s="64" t="s">
        <v>141</v>
      </c>
      <c r="E88" s="64" t="s">
        <v>140</v>
      </c>
      <c r="F88" s="64"/>
    </row>
    <row r="89" spans="1:6" x14ac:dyDescent="0.4">
      <c r="A89" s="64">
        <v>88</v>
      </c>
      <c r="B89" s="64"/>
      <c r="C89" s="64" t="s">
        <v>138</v>
      </c>
      <c r="D89" s="64" t="s">
        <v>141</v>
      </c>
      <c r="E89" s="64" t="s">
        <v>140</v>
      </c>
      <c r="F89" s="64"/>
    </row>
    <row r="90" spans="1:6" x14ac:dyDescent="0.4">
      <c r="A90" s="64">
        <v>89</v>
      </c>
      <c r="B90" s="64"/>
      <c r="C90" s="64" t="s">
        <v>138</v>
      </c>
      <c r="D90" s="64" t="s">
        <v>141</v>
      </c>
      <c r="E90" s="64" t="s">
        <v>140</v>
      </c>
      <c r="F90" s="64"/>
    </row>
    <row r="91" spans="1:6" x14ac:dyDescent="0.4">
      <c r="A91" s="64">
        <v>90</v>
      </c>
      <c r="B91" s="64"/>
      <c r="C91" s="64" t="s">
        <v>138</v>
      </c>
      <c r="D91" s="64" t="s">
        <v>141</v>
      </c>
      <c r="E91" s="64" t="s">
        <v>140</v>
      </c>
      <c r="F91" s="64"/>
    </row>
    <row r="92" spans="1:6" x14ac:dyDescent="0.4">
      <c r="A92" s="64">
        <v>91</v>
      </c>
      <c r="B92" s="64"/>
      <c r="C92" s="64" t="s">
        <v>138</v>
      </c>
      <c r="D92" s="64" t="s">
        <v>141</v>
      </c>
      <c r="E92" s="64" t="s">
        <v>140</v>
      </c>
      <c r="F92" s="64"/>
    </row>
    <row r="93" spans="1:6" x14ac:dyDescent="0.4">
      <c r="A93" s="64">
        <v>92</v>
      </c>
      <c r="B93" s="64"/>
      <c r="C93" s="64" t="s">
        <v>138</v>
      </c>
      <c r="D93" s="64" t="s">
        <v>141</v>
      </c>
      <c r="E93" s="64" t="s">
        <v>140</v>
      </c>
      <c r="F93" s="64"/>
    </row>
    <row r="94" spans="1:6" x14ac:dyDescent="0.4">
      <c r="A94" s="64">
        <v>93</v>
      </c>
      <c r="B94" s="64"/>
      <c r="C94" s="64" t="s">
        <v>138</v>
      </c>
      <c r="D94" s="64" t="s">
        <v>141</v>
      </c>
      <c r="E94" s="64" t="s">
        <v>140</v>
      </c>
      <c r="F94" s="64"/>
    </row>
    <row r="95" spans="1:6" x14ac:dyDescent="0.4">
      <c r="A95" s="64">
        <v>94</v>
      </c>
      <c r="B95" s="64"/>
      <c r="C95" s="64" t="s">
        <v>138</v>
      </c>
      <c r="D95" s="64" t="s">
        <v>141</v>
      </c>
      <c r="E95" s="64" t="s">
        <v>140</v>
      </c>
      <c r="F95" s="64"/>
    </row>
    <row r="96" spans="1:6" x14ac:dyDescent="0.4">
      <c r="A96" s="64">
        <v>95</v>
      </c>
      <c r="B96" s="64"/>
      <c r="C96" s="64" t="s">
        <v>138</v>
      </c>
      <c r="D96" s="64" t="s">
        <v>141</v>
      </c>
      <c r="E96" s="64" t="s">
        <v>140</v>
      </c>
      <c r="F96" s="64"/>
    </row>
    <row r="97" spans="1:6" x14ac:dyDescent="0.4">
      <c r="A97" s="64">
        <v>96</v>
      </c>
      <c r="B97" s="64"/>
      <c r="C97" s="64" t="s">
        <v>138</v>
      </c>
      <c r="D97" s="64" t="s">
        <v>141</v>
      </c>
      <c r="E97" s="64" t="s">
        <v>140</v>
      </c>
      <c r="F97" s="64"/>
    </row>
    <row r="98" spans="1:6" x14ac:dyDescent="0.4">
      <c r="A98" s="64">
        <v>97</v>
      </c>
      <c r="B98" s="64"/>
      <c r="C98" s="64" t="s">
        <v>138</v>
      </c>
      <c r="D98" s="64" t="s">
        <v>141</v>
      </c>
      <c r="E98" s="64" t="s">
        <v>140</v>
      </c>
      <c r="F98" s="64"/>
    </row>
    <row r="99" spans="1:6" x14ac:dyDescent="0.4">
      <c r="A99" s="64">
        <v>98</v>
      </c>
      <c r="B99" s="64"/>
      <c r="C99" s="64" t="s">
        <v>138</v>
      </c>
      <c r="D99" s="64" t="s">
        <v>141</v>
      </c>
      <c r="E99" s="64" t="s">
        <v>140</v>
      </c>
      <c r="F99" s="64"/>
    </row>
    <row r="100" spans="1:6" x14ac:dyDescent="0.4">
      <c r="A100" s="64">
        <v>99</v>
      </c>
      <c r="B100" s="64"/>
      <c r="C100" s="64" t="s">
        <v>138</v>
      </c>
      <c r="D100" s="64" t="s">
        <v>141</v>
      </c>
      <c r="E100" s="64" t="s">
        <v>140</v>
      </c>
      <c r="F100" s="64"/>
    </row>
    <row r="101" spans="1:6" x14ac:dyDescent="0.4">
      <c r="A101" s="64">
        <v>100</v>
      </c>
      <c r="B101" s="64"/>
      <c r="C101" s="64" t="s">
        <v>138</v>
      </c>
      <c r="D101" s="64" t="s">
        <v>141</v>
      </c>
      <c r="E101" s="64" t="s">
        <v>140</v>
      </c>
      <c r="F101" s="64"/>
    </row>
    <row r="103" spans="1:6" x14ac:dyDescent="0.4">
      <c r="A103" s="63" t="s">
        <v>142</v>
      </c>
      <c r="B103" s="63" t="s">
        <v>143</v>
      </c>
    </row>
    <row r="104" spans="1:6" x14ac:dyDescent="0.4">
      <c r="A104" s="63" t="s">
        <v>144</v>
      </c>
      <c r="B104" s="63" t="s">
        <v>145</v>
      </c>
    </row>
  </sheetData>
  <phoneticPr fontId="1" type="noConversion"/>
  <dataValidations count="1">
    <dataValidation type="list" allowBlank="1" showInputMessage="1" showErrorMessage="1" sqref="C2:C102" xr:uid="{A77FF4F7-9A8C-48FB-B122-2973853CAE09}">
      <formula1>"사장님,대표님,팀장님,담당자님"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A73A-54E6-4167-8D5D-FE0EB644B8F1}">
  <sheetPr>
    <tabColor rgb="FFFFFF00"/>
  </sheetPr>
  <dimension ref="A1:C101"/>
  <sheetViews>
    <sheetView zoomScale="85" zoomScaleNormal="85" workbookViewId="0">
      <pane ySplit="1" topLeftCell="A3" activePane="bottomLeft" state="frozen"/>
      <selection activeCell="F4" sqref="F4"/>
      <selection pane="bottomLeft" activeCell="F4" sqref="F4"/>
    </sheetView>
  </sheetViews>
  <sheetFormatPr defaultRowHeight="17.399999999999999" x14ac:dyDescent="0.4"/>
  <cols>
    <col min="1" max="1" width="6" style="63" customWidth="1"/>
    <col min="2" max="2" width="60" style="63" customWidth="1"/>
    <col min="3" max="3" width="80" style="63" customWidth="1"/>
    <col min="4" max="16384" width="8.796875" style="63"/>
  </cols>
  <sheetData>
    <row r="1" spans="1:3" x14ac:dyDescent="0.4">
      <c r="A1" s="62" t="s">
        <v>132</v>
      </c>
      <c r="B1" s="62" t="s">
        <v>146</v>
      </c>
      <c r="C1" s="62" t="s">
        <v>147</v>
      </c>
    </row>
    <row r="2" spans="1:3" ht="295.8" x14ac:dyDescent="0.4">
      <c r="A2" s="65">
        <v>1</v>
      </c>
      <c r="B2" s="66" t="str">
        <f>IF(입력!C2="","","안녕하세요, "&amp;입력!C2&amp;"."&amp;CHAR(10)&amp;"저희는 "&amp;입력!E2&amp;"에서 다양한 제품을 판매하며"&amp;CHAR(10)&amp;"월 약 "&amp;TEXT(입력!F2,"0")&amp;"만 원 수준의 매출을 내고 있는 업체입니다."&amp;CHAR(10)&amp;CHAR(10)&amp;"이번에 "&amp;입력!D2&amp;" 쪽으로 판매 영역을 확장하려 하는데,"&amp;CHAR(10)&amp;"혹시 위탁 판매 형태로 협업이 가능하실까요?"&amp;CHAR(10)&amp;입력!C2&amp;"께서는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3000만 원 수준의 매출을 내고 있는 업체입니다.
이번에 된장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" s="66" t="str">
        <f>IF(입력!C2="","","안녕하세요, "&amp;입력!C2&amp;"."&amp;CHAR(10)&amp;"저희는 "&amp;입력!E2&amp;"에서 다양한 제품을 판매하며"&amp;CHAR(10)&amp;"월 "&amp;TEXT(입력!F2,"0")&amp;"만 원 이상의 매출을 꾸준히 기록하고 있는 업체입니다."&amp;CHAR(10)&amp;CHAR(10)&amp;"최근 고객 데이터를 분석해 본 결과,"&amp;CHAR(10)&amp;입력!D2&amp;"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3000만 원 이상의 매출을 꾸준히 기록하고 있는 업체입니다.
최근 고객 데이터를 분석해 본 결과,
된장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" spans="1:3" ht="295.8" x14ac:dyDescent="0.4">
      <c r="A3" s="65">
        <v>2</v>
      </c>
      <c r="B3" s="66" t="str">
        <f>IF(입력!C3="","","안녕하세요, "&amp;입력!C3&amp;"."&amp;CHAR(10)&amp;"저희는 "&amp;입력!E3&amp;"에서 다양한 제품을 판매하며"&amp;CHAR(10)&amp;"월 약 "&amp;TEXT(입력!F3,"0")&amp;"만 원 수준의 매출을 내고 있는 업체입니다."&amp;CHAR(10)&amp;CHAR(10)&amp;"이번에 "&amp;입력!D3&amp;" 쪽으로 판매 영역을 확장하려 하는데,"&amp;CHAR(10)&amp;"혹시 위탁 판매 형태로 협업이 가능하실까요?"&amp;CHAR(10)&amp;입력!C3&amp;"께서는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3000만 원 수준의 매출을 내고 있는 업체입니다.
이번에 고구마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" s="66" t="str">
        <f>IF(입력!C3="","","안녕하세요, "&amp;입력!C3&amp;"."&amp;CHAR(10)&amp;"저희는 "&amp;입력!E3&amp;"에서 다양한 제품을 판매하며"&amp;CHAR(10)&amp;"월 "&amp;TEXT(입력!F3,"0")&amp;"만 원 이상의 매출을 꾸준히 기록하고 있는 업체입니다."&amp;CHAR(10)&amp;CHAR(10)&amp;"최근 고객 데이터를 분석해 본 결과,"&amp;CHAR(10)&amp;입력!D3&amp;"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3000만 원 이상의 매출을 꾸준히 기록하고 있는 업체입니다.
최근 고객 데이터를 분석해 본 결과,
고구마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" spans="1:3" ht="295.8" x14ac:dyDescent="0.4">
      <c r="A4" s="65">
        <v>3</v>
      </c>
      <c r="B4" s="66" t="str">
        <f>IF(입력!C4="","","안녕하세요, "&amp;입력!C4&amp;"."&amp;CHAR(10)&amp;"저희는 "&amp;입력!E4&amp;"에서 다양한 제품을 판매하며"&amp;CHAR(10)&amp;"월 약 "&amp;TEXT(입력!F4,"0")&amp;"만 원 수준의 매출을 내고 있는 업체입니다."&amp;CHAR(10)&amp;CHAR(10)&amp;"이번에 "&amp;입력!D4&amp;" 쪽으로 판매 영역을 확장하려 하는데,"&amp;CHAR(10)&amp;"혹시 위탁 판매 형태로 협업이 가능하실까요?"&amp;CHAR(10)&amp;입력!C4&amp;"께서는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3000만 원 수준의 매출을 내고 있는 업체입니다.
이번에 우슬즙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" s="66" t="str">
        <f>IF(입력!C4="","","안녕하세요, "&amp;입력!C4&amp;"."&amp;CHAR(10)&amp;"저희는 "&amp;입력!E4&amp;"에서 다양한 제품을 판매하며"&amp;CHAR(10)&amp;"월 "&amp;TEXT(입력!F4,"0")&amp;"만 원 이상의 매출을 꾸준히 기록하고 있는 업체입니다."&amp;CHAR(10)&amp;CHAR(10)&amp;"최근 고객 데이터를 분석해 본 결과,"&amp;CHAR(10)&amp;입력!D4&amp;"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3000만 원 이상의 매출을 꾸준히 기록하고 있는 업체입니다.
최근 고객 데이터를 분석해 본 결과,
우슬즙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" spans="1:3" ht="295.8" x14ac:dyDescent="0.4">
      <c r="A5" s="65">
        <v>4</v>
      </c>
      <c r="B5" s="66" t="str">
        <f>IF(입력!C5="","","안녕하세요, "&amp;입력!C5&amp;"."&amp;CHAR(10)&amp;"저희는 "&amp;입력!E5&amp;"에서 다양한 제품을 판매하며"&amp;CHAR(10)&amp;"월 약 "&amp;TEXT(입력!F5,"0")&amp;"만 원 수준의 매출을 내고 있는 업체입니다."&amp;CHAR(10)&amp;CHAR(10)&amp;"이번에 "&amp;입력!D5&amp;" 쪽으로 판매 영역을 확장하려 하는데,"&amp;CHAR(10)&amp;"혹시 위탁 판매 형태로 협업이 가능하실까요?"&amp;CHAR(10)&amp;입력!C5&amp;"께서는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야관문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" s="66" t="str">
        <f>IF(입력!C5="","","안녕하세요, "&amp;입력!C5&amp;"."&amp;CHAR(10)&amp;"저희는 "&amp;입력!E5&amp;"에서 다양한 제품을 판매하며"&amp;CHAR(10)&amp;"월 "&amp;TEXT(입력!F5,"0")&amp;"만 원 이상의 매출을 꾸준히 기록하고 있는 업체입니다."&amp;CHAR(10)&amp;CHAR(10)&amp;"최근 고객 데이터를 분석해 본 결과,"&amp;CHAR(10)&amp;입력!D5&amp;"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야관문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" spans="1:3" ht="295.8" x14ac:dyDescent="0.4">
      <c r="A6" s="65">
        <v>5</v>
      </c>
      <c r="B6" s="66" t="str">
        <f>IF(입력!C6="","","안녕하세요, "&amp;입력!C6&amp;"."&amp;CHAR(10)&amp;"저희는 "&amp;입력!E6&amp;"에서 다양한 제품을 판매하며"&amp;CHAR(10)&amp;"월 약 "&amp;TEXT(입력!F6,"0")&amp;"만 원 수준의 매출을 내고 있는 업체입니다."&amp;CHAR(10)&amp;CHAR(10)&amp;"이번에 "&amp;입력!D6&amp;" 쪽으로 판매 영역을 확장하려 하는데,"&amp;CHAR(10)&amp;"혹시 위탁 판매 형태로 협업이 가능하실까요?"&amp;CHAR(10)&amp;입력!C6&amp;"께서는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" s="66" t="str">
        <f>IF(입력!C6="","","안녕하세요, "&amp;입력!C6&amp;"."&amp;CHAR(10)&amp;"저희는 "&amp;입력!E6&amp;"에서 다양한 제품을 판매하며"&amp;CHAR(10)&amp;"월 "&amp;TEXT(입력!F6,"0")&amp;"만 원 이상의 매출을 꾸준히 기록하고 있는 업체입니다."&amp;CHAR(10)&amp;CHAR(10)&amp;"최근 고객 데이터를 분석해 본 결과,"&amp;CHAR(10)&amp;입력!D6&amp;"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" spans="1:3" ht="295.8" x14ac:dyDescent="0.4">
      <c r="A7" s="65">
        <v>6</v>
      </c>
      <c r="B7" s="66" t="str">
        <f>IF(입력!C7="","","안녕하세요, "&amp;입력!C7&amp;"."&amp;CHAR(10)&amp;"저희는 "&amp;입력!E7&amp;"에서 다양한 제품을 판매하며"&amp;CHAR(10)&amp;"월 약 "&amp;TEXT(입력!F7,"0")&amp;"만 원 수준의 매출을 내고 있는 업체입니다."&amp;CHAR(10)&amp;CHAR(10)&amp;"이번에 "&amp;입력!D7&amp;" 쪽으로 판매 영역을 확장하려 하는데,"&amp;CHAR(10)&amp;"혹시 위탁 판매 형태로 협업이 가능하실까요?"&amp;CHAR(10)&amp;입력!C7&amp;"께서는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" s="66" t="str">
        <f>IF(입력!C7="","","안녕하세요, "&amp;입력!C7&amp;"."&amp;CHAR(10)&amp;"저희는 "&amp;입력!E7&amp;"에서 다양한 제품을 판매하며"&amp;CHAR(10)&amp;"월 "&amp;TEXT(입력!F7,"0")&amp;"만 원 이상의 매출을 꾸준히 기록하고 있는 업체입니다."&amp;CHAR(10)&amp;CHAR(10)&amp;"최근 고객 데이터를 분석해 본 결과,"&amp;CHAR(10)&amp;입력!D7&amp;"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" spans="1:3" ht="295.8" x14ac:dyDescent="0.4">
      <c r="A8" s="65">
        <v>7</v>
      </c>
      <c r="B8" s="66" t="str">
        <f>IF(입력!C8="","","안녕하세요, "&amp;입력!C8&amp;"."&amp;CHAR(10)&amp;"저희는 "&amp;입력!E8&amp;"에서 다양한 제품을 판매하며"&amp;CHAR(10)&amp;"월 약 "&amp;TEXT(입력!F8,"0")&amp;"만 원 수준의 매출을 내고 있는 업체입니다."&amp;CHAR(10)&amp;CHAR(10)&amp;"이번에 "&amp;입력!D8&amp;" 쪽으로 판매 영역을 확장하려 하는데,"&amp;CHAR(10)&amp;"혹시 위탁 판매 형태로 협업이 가능하실까요?"&amp;CHAR(10)&amp;입력!C8&amp;"께서는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" s="66" t="str">
        <f>IF(입력!C8="","","안녕하세요, "&amp;입력!C8&amp;"."&amp;CHAR(10)&amp;"저희는 "&amp;입력!E8&amp;"에서 다양한 제품을 판매하며"&amp;CHAR(10)&amp;"월 "&amp;TEXT(입력!F8,"0")&amp;"만 원 이상의 매출을 꾸준히 기록하고 있는 업체입니다."&amp;CHAR(10)&amp;CHAR(10)&amp;"최근 고객 데이터를 분석해 본 결과,"&amp;CHAR(10)&amp;입력!D8&amp;"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" spans="1:3" ht="295.8" x14ac:dyDescent="0.4">
      <c r="A9" s="65">
        <v>8</v>
      </c>
      <c r="B9" s="66" t="str">
        <f>IF(입력!C9="","","안녕하세요, "&amp;입력!C9&amp;"."&amp;CHAR(10)&amp;"저희는 "&amp;입력!E9&amp;"에서 다양한 제품을 판매하며"&amp;CHAR(10)&amp;"월 약 "&amp;TEXT(입력!F9,"0")&amp;"만 원 수준의 매출을 내고 있는 업체입니다."&amp;CHAR(10)&amp;CHAR(10)&amp;"이번에 "&amp;입력!D9&amp;" 쪽으로 판매 영역을 확장하려 하는데,"&amp;CHAR(10)&amp;"혹시 위탁 판매 형태로 협업이 가능하실까요?"&amp;CHAR(10)&amp;입력!C9&amp;"께서는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" s="66" t="str">
        <f>IF(입력!C9="","","안녕하세요, "&amp;입력!C9&amp;"."&amp;CHAR(10)&amp;"저희는 "&amp;입력!E9&amp;"에서 다양한 제품을 판매하며"&amp;CHAR(10)&amp;"월 "&amp;TEXT(입력!F9,"0")&amp;"만 원 이상의 매출을 꾸준히 기록하고 있는 업체입니다."&amp;CHAR(10)&amp;CHAR(10)&amp;"최근 고객 데이터를 분석해 본 결과,"&amp;CHAR(10)&amp;입력!D9&amp;"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0" spans="1:3" ht="295.8" x14ac:dyDescent="0.4">
      <c r="A10" s="65">
        <v>9</v>
      </c>
      <c r="B10" s="66" t="str">
        <f>IF(입력!C10="","","안녕하세요, "&amp;입력!C10&amp;"."&amp;CHAR(10)&amp;"저희는 "&amp;입력!E10&amp;"에서 다양한 제품을 판매하며"&amp;CHAR(10)&amp;"월 약 "&amp;TEXT(입력!F10,"0")&amp;"만 원 수준의 매출을 내고 있는 업체입니다."&amp;CHAR(10)&amp;CHAR(10)&amp;"이번에 "&amp;입력!D10&amp;" 쪽으로 판매 영역을 확장하려 하는데,"&amp;CHAR(10)&amp;"혹시 위탁 판매 형태로 협업이 가능하실까요?"&amp;CHAR(10)&amp;입력!C10&amp;"께서는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0" s="66" t="str">
        <f>IF(입력!C10="","","안녕하세요, "&amp;입력!C10&amp;"."&amp;CHAR(10)&amp;"저희는 "&amp;입력!E10&amp;"에서 다양한 제품을 판매하며"&amp;CHAR(10)&amp;"월 "&amp;TEXT(입력!F10,"0")&amp;"만 원 이상의 매출을 꾸준히 기록하고 있는 업체입니다."&amp;CHAR(10)&amp;CHAR(10)&amp;"최근 고객 데이터를 분석해 본 결과,"&amp;CHAR(10)&amp;입력!D10&amp;"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"&amp;입력!C10&amp;"께서는"&amp;CHAR(10)&amp;"추가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1" spans="1:3" ht="295.8" x14ac:dyDescent="0.4">
      <c r="A11" s="65">
        <v>10</v>
      </c>
      <c r="B11" s="66" t="str">
        <f>IF(입력!C11="","","안녕하세요, "&amp;입력!C11&amp;"."&amp;CHAR(10)&amp;"저희는 "&amp;입력!E11&amp;"에서 다양한 제품을 판매하며"&amp;CHAR(10)&amp;"월 약 "&amp;TEXT(입력!F11,"0")&amp;"만 원 수준의 매출을 내고 있는 업체입니다."&amp;CHAR(10)&amp;CHAR(10)&amp;"이번에 "&amp;입력!D11&amp;" 쪽으로 판매 영역을 확장하려 하는데,"&amp;CHAR(10)&amp;"혹시 위탁 판매 형태로 협업이 가능하실까요?"&amp;CHAR(10)&amp;입력!C11&amp;"께서는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1" s="66" t="str">
        <f>IF(입력!C11="","","안녕하세요, "&amp;입력!C11&amp;"."&amp;CHAR(10)&amp;"저희는 "&amp;입력!E11&amp;"에서 다양한 제품을 판매하며"&amp;CHAR(10)&amp;"월 "&amp;TEXT(입력!F11,"0")&amp;"만 원 이상의 매출을 꾸준히 기록하고 있는 업체입니다."&amp;CHAR(10)&amp;CHAR(10)&amp;"최근 고객 데이터를 분석해 본 결과,"&amp;CHAR(10)&amp;입력!D11&amp;"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"&amp;입력!C11&amp;"께서는"&amp;CHAR(10)&amp;"추가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2" spans="1:3" ht="295.8" x14ac:dyDescent="0.4">
      <c r="A12" s="65">
        <v>11</v>
      </c>
      <c r="B12" s="66" t="str">
        <f>IF(입력!C12="","","안녕하세요, "&amp;입력!C12&amp;"."&amp;CHAR(10)&amp;"저희는 "&amp;입력!E12&amp;"에서 다양한 제품을 판매하며"&amp;CHAR(10)&amp;"월 약 "&amp;TEXT(입력!F12,"0")&amp;"만 원 수준의 매출을 내고 있는 업체입니다."&amp;CHAR(10)&amp;CHAR(10)&amp;"이번에 "&amp;입력!D12&amp;" 쪽으로 판매 영역을 확장하려 하는데,"&amp;CHAR(10)&amp;"혹시 위탁 판매 형태로 협업이 가능하실까요?"&amp;CHAR(10)&amp;입력!C12&amp;"께서는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2" s="66" t="str">
        <f>IF(입력!C12="","","안녕하세요, "&amp;입력!C12&amp;"."&amp;CHAR(10)&amp;"저희는 "&amp;입력!E12&amp;"에서 다양한 제품을 판매하며"&amp;CHAR(10)&amp;"월 "&amp;TEXT(입력!F12,"0")&amp;"만 원 이상의 매출을 꾸준히 기록하고 있는 업체입니다."&amp;CHAR(10)&amp;CHAR(10)&amp;"최근 고객 데이터를 분석해 본 결과,"&amp;CHAR(10)&amp;입력!D12&amp;"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"&amp;입력!C12&amp;"께서는"&amp;CHAR(10)&amp;"추가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3" spans="1:3" ht="295.8" x14ac:dyDescent="0.4">
      <c r="A13" s="65">
        <v>12</v>
      </c>
      <c r="B13" s="66" t="str">
        <f>IF(입력!C13="","","안녕하세요, "&amp;입력!C13&amp;"."&amp;CHAR(10)&amp;"저희는 "&amp;입력!E13&amp;"에서 다양한 제품을 판매하며"&amp;CHAR(10)&amp;"월 약 "&amp;TEXT(입력!F13,"0")&amp;"만 원 수준의 매출을 내고 있는 업체입니다."&amp;CHAR(10)&amp;CHAR(10)&amp;"이번에 "&amp;입력!D13&amp;" 쪽으로 판매 영역을 확장하려 하는데,"&amp;CHAR(10)&amp;"혹시 위탁 판매 형태로 협업이 가능하실까요?"&amp;CHAR(10)&amp;입력!C13&amp;"께서는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3" s="66" t="str">
        <f>IF(입력!C13="","","안녕하세요, "&amp;입력!C13&amp;"."&amp;CHAR(10)&amp;"저희는 "&amp;입력!E13&amp;"에서 다양한 제품을 판매하며"&amp;CHAR(10)&amp;"월 "&amp;TEXT(입력!F13,"0")&amp;"만 원 이상의 매출을 꾸준히 기록하고 있는 업체입니다."&amp;CHAR(10)&amp;CHAR(10)&amp;"최근 고객 데이터를 분석해 본 결과,"&amp;CHAR(10)&amp;입력!D13&amp;"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"&amp;입력!C13&amp;"께서는"&amp;CHAR(10)&amp;"추가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4" spans="1:3" ht="295.8" x14ac:dyDescent="0.4">
      <c r="A14" s="65">
        <v>13</v>
      </c>
      <c r="B14" s="66" t="str">
        <f>IF(입력!C14="","","안녕하세요, "&amp;입력!C14&amp;"."&amp;CHAR(10)&amp;"저희는 "&amp;입력!E14&amp;"에서 다양한 제품을 판매하며"&amp;CHAR(10)&amp;"월 약 "&amp;TEXT(입력!F14,"0")&amp;"만 원 수준의 매출을 내고 있는 업체입니다."&amp;CHAR(10)&amp;CHAR(10)&amp;"이번에 "&amp;입력!D14&amp;" 쪽으로 판매 영역을 확장하려 하는데,"&amp;CHAR(10)&amp;"혹시 위탁 판매 형태로 협업이 가능하실까요?"&amp;CHAR(10)&amp;입력!C14&amp;"께서는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4" s="66" t="str">
        <f>IF(입력!C14="","","안녕하세요, "&amp;입력!C14&amp;"."&amp;CHAR(10)&amp;"저희는 "&amp;입력!E14&amp;"에서 다양한 제품을 판매하며"&amp;CHAR(10)&amp;"월 "&amp;TEXT(입력!F14,"0")&amp;"만 원 이상의 매출을 꾸준히 기록하고 있는 업체입니다."&amp;CHAR(10)&amp;CHAR(10)&amp;"최근 고객 데이터를 분석해 본 결과,"&amp;CHAR(10)&amp;입력!D14&amp;"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"&amp;입력!C14&amp;"께서는"&amp;CHAR(10)&amp;"추가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5" spans="1:3" ht="295.8" x14ac:dyDescent="0.4">
      <c r="A15" s="65">
        <v>14</v>
      </c>
      <c r="B15" s="66" t="str">
        <f>IF(입력!C15="","","안녕하세요, "&amp;입력!C15&amp;"."&amp;CHAR(10)&amp;"저희는 "&amp;입력!E15&amp;"에서 다양한 제품을 판매하며"&amp;CHAR(10)&amp;"월 약 "&amp;TEXT(입력!F15,"0")&amp;"만 원 수준의 매출을 내고 있는 업체입니다."&amp;CHAR(10)&amp;CHAR(10)&amp;"이번에 "&amp;입력!D15&amp;" 쪽으로 판매 영역을 확장하려 하는데,"&amp;CHAR(10)&amp;"혹시 위탁 판매 형태로 협업이 가능하실까요?"&amp;CHAR(10)&amp;입력!C15&amp;"께서는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5" s="66" t="str">
        <f>IF(입력!C15="","","안녕하세요, "&amp;입력!C15&amp;"."&amp;CHAR(10)&amp;"저희는 "&amp;입력!E15&amp;"에서 다양한 제품을 판매하며"&amp;CHAR(10)&amp;"월 "&amp;TEXT(입력!F15,"0")&amp;"만 원 이상의 매출을 꾸준히 기록하고 있는 업체입니다."&amp;CHAR(10)&amp;CHAR(10)&amp;"최근 고객 데이터를 분석해 본 결과,"&amp;CHAR(10)&amp;입력!D15&amp;"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"&amp;입력!C15&amp;"께서는"&amp;CHAR(10)&amp;"추가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6" spans="1:3" ht="295.8" x14ac:dyDescent="0.4">
      <c r="A16" s="65">
        <v>15</v>
      </c>
      <c r="B16" s="66" t="str">
        <f>IF(입력!C16="","","안녕하세요, "&amp;입력!C16&amp;"."&amp;CHAR(10)&amp;"저희는 "&amp;입력!E16&amp;"에서 다양한 제품을 판매하며"&amp;CHAR(10)&amp;"월 약 "&amp;TEXT(입력!F16,"0")&amp;"만 원 수준의 매출을 내고 있는 업체입니다."&amp;CHAR(10)&amp;CHAR(10)&amp;"이번에 "&amp;입력!D16&amp;" 쪽으로 판매 영역을 확장하려 하는데,"&amp;CHAR(10)&amp;"혹시 위탁 판매 형태로 협업이 가능하실까요?"&amp;CHAR(10)&amp;입력!C16&amp;"께서는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6" s="66" t="str">
        <f>IF(입력!C16="","","안녕하세요, "&amp;입력!C16&amp;"."&amp;CHAR(10)&amp;"저희는 "&amp;입력!E16&amp;"에서 다양한 제품을 판매하며"&amp;CHAR(10)&amp;"월 "&amp;TEXT(입력!F16,"0")&amp;"만 원 이상의 매출을 꾸준히 기록하고 있는 업체입니다."&amp;CHAR(10)&amp;CHAR(10)&amp;"최근 고객 데이터를 분석해 본 결과,"&amp;CHAR(10)&amp;입력!D16&amp;"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"&amp;입력!C16&amp;"께서는"&amp;CHAR(10)&amp;"추가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7" spans="1:3" ht="295.8" x14ac:dyDescent="0.4">
      <c r="A17" s="65">
        <v>16</v>
      </c>
      <c r="B17" s="66" t="str">
        <f>IF(입력!C17="","","안녕하세요, "&amp;입력!C17&amp;"."&amp;CHAR(10)&amp;"저희는 "&amp;입력!E17&amp;"에서 다양한 제품을 판매하며"&amp;CHAR(10)&amp;"월 약 "&amp;TEXT(입력!F17,"0")&amp;"만 원 수준의 매출을 내고 있는 업체입니다."&amp;CHAR(10)&amp;CHAR(10)&amp;"이번에 "&amp;입력!D17&amp;" 쪽으로 판매 영역을 확장하려 하는데,"&amp;CHAR(10)&amp;"혹시 위탁 판매 형태로 협업이 가능하실까요?"&amp;CHAR(10)&amp;입력!C17&amp;"께서는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7" s="66" t="str">
        <f>IF(입력!C17="","","안녕하세요, "&amp;입력!C17&amp;"."&amp;CHAR(10)&amp;"저희는 "&amp;입력!E17&amp;"에서 다양한 제품을 판매하며"&amp;CHAR(10)&amp;"월 "&amp;TEXT(입력!F17,"0")&amp;"만 원 이상의 매출을 꾸준히 기록하고 있는 업체입니다."&amp;CHAR(10)&amp;CHAR(10)&amp;"최근 고객 데이터를 분석해 본 결과,"&amp;CHAR(10)&amp;입력!D17&amp;"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"&amp;입력!C17&amp;"께서는"&amp;CHAR(10)&amp;"추가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8" spans="1:3" ht="295.8" x14ac:dyDescent="0.4">
      <c r="A18" s="65">
        <v>17</v>
      </c>
      <c r="B18" s="66" t="str">
        <f>IF(입력!C18="","","안녕하세요, "&amp;입력!C18&amp;"."&amp;CHAR(10)&amp;"저희는 "&amp;입력!E18&amp;"에서 다양한 제품을 판매하며"&amp;CHAR(10)&amp;"월 약 "&amp;TEXT(입력!F18,"0")&amp;"만 원 수준의 매출을 내고 있는 업체입니다."&amp;CHAR(10)&amp;CHAR(10)&amp;"이번에 "&amp;입력!D18&amp;" 쪽으로 판매 영역을 확장하려 하는데,"&amp;CHAR(10)&amp;"혹시 위탁 판매 형태로 협업이 가능하실까요?"&amp;CHAR(10)&amp;입력!C18&amp;"께서는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8" s="66" t="str">
        <f>IF(입력!C18="","","안녕하세요, "&amp;입력!C18&amp;"."&amp;CHAR(10)&amp;"저희는 "&amp;입력!E18&amp;"에서 다양한 제품을 판매하며"&amp;CHAR(10)&amp;"월 "&amp;TEXT(입력!F18,"0")&amp;"만 원 이상의 매출을 꾸준히 기록하고 있는 업체입니다."&amp;CHAR(10)&amp;CHAR(10)&amp;"최근 고객 데이터를 분석해 본 결과,"&amp;CHAR(10)&amp;입력!D18&amp;"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"&amp;입력!C18&amp;"께서는"&amp;CHAR(10)&amp;"추가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9" spans="1:3" ht="295.8" x14ac:dyDescent="0.4">
      <c r="A19" s="65">
        <v>18</v>
      </c>
      <c r="B19" s="66" t="str">
        <f>IF(입력!C19="","","안녕하세요, "&amp;입력!C19&amp;"."&amp;CHAR(10)&amp;"저희는 "&amp;입력!E19&amp;"에서 다양한 제품을 판매하며"&amp;CHAR(10)&amp;"월 약 "&amp;TEXT(입력!F19,"0")&amp;"만 원 수준의 매출을 내고 있는 업체입니다."&amp;CHAR(10)&amp;CHAR(10)&amp;"이번에 "&amp;입력!D19&amp;" 쪽으로 판매 영역을 확장하려 하는데,"&amp;CHAR(10)&amp;"혹시 위탁 판매 형태로 협업이 가능하실까요?"&amp;CHAR(10)&amp;입력!C19&amp;"께서는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9" s="66" t="str">
        <f>IF(입력!C19="","","안녕하세요, "&amp;입력!C19&amp;"."&amp;CHAR(10)&amp;"저희는 "&amp;입력!E19&amp;"에서 다양한 제품을 판매하며"&amp;CHAR(10)&amp;"월 "&amp;TEXT(입력!F19,"0")&amp;"만 원 이상의 매출을 꾸준히 기록하고 있는 업체입니다."&amp;CHAR(10)&amp;CHAR(10)&amp;"최근 고객 데이터를 분석해 본 결과,"&amp;CHAR(10)&amp;입력!D19&amp;"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"&amp;입력!C19&amp;"께서는"&amp;CHAR(10)&amp;"추가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20" spans="1:3" ht="295.8" x14ac:dyDescent="0.4">
      <c r="A20" s="65">
        <v>19</v>
      </c>
      <c r="B20" s="66" t="str">
        <f>IF(입력!C20="","","안녕하세요, "&amp;입력!C20&amp;"."&amp;CHAR(10)&amp;"저희는 "&amp;입력!E20&amp;"에서 다양한 제품을 판매하며"&amp;CHAR(10)&amp;"월 약 "&amp;TEXT(입력!F20,"0")&amp;"만 원 수준의 매출을 내고 있는 업체입니다."&amp;CHAR(10)&amp;CHAR(10)&amp;"이번에 "&amp;입력!D20&amp;" 쪽으로 판매 영역을 확장하려 하는데,"&amp;CHAR(10)&amp;"혹시 위탁 판매 형태로 협업이 가능하실까요?"&amp;CHAR(10)&amp;입력!C20&amp;"께서는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0" s="66" t="str">
        <f>IF(입력!C20="","","안녕하세요, "&amp;입력!C20&amp;"."&amp;CHAR(10)&amp;"저희는 "&amp;입력!E20&amp;"에서 다양한 제품을 판매하며"&amp;CHAR(10)&amp;"월 "&amp;TEXT(입력!F20,"0")&amp;"만 원 이상의 매출을 꾸준히 기록하고 있는 업체입니다."&amp;CHAR(10)&amp;CHAR(10)&amp;"최근 고객 데이터를 분석해 본 결과,"&amp;CHAR(10)&amp;입력!D20&amp;"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"&amp;입력!C20&amp;"께서는"&amp;CHAR(10)&amp;"추가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21" spans="1:3" ht="295.8" x14ac:dyDescent="0.4">
      <c r="A21" s="65">
        <v>20</v>
      </c>
      <c r="B21" s="66" t="str">
        <f>IF(입력!C21="","","안녕하세요, "&amp;입력!C21&amp;"."&amp;CHAR(10)&amp;"저희는 "&amp;입력!E21&amp;"에서 다양한 제품을 판매하며"&amp;CHAR(10)&amp;"월 약 "&amp;TEXT(입력!F21,"0")&amp;"만 원 수준의 매출을 내고 있는 업체입니다."&amp;CHAR(10)&amp;CHAR(10)&amp;"이번에 "&amp;입력!D21&amp;" 쪽으로 판매 영역을 확장하려 하는데,"&amp;CHAR(10)&amp;"혹시 위탁 판매 형태로 협업이 가능하실까요?"&amp;CHAR(10)&amp;입력!C21&amp;"께서는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1" s="66" t="str">
        <f>IF(입력!C21="","","안녕하세요, "&amp;입력!C21&amp;"."&amp;CHAR(10)&amp;"저희는 "&amp;입력!E21&amp;"에서 다양한 제품을 판매하며"&amp;CHAR(10)&amp;"월 "&amp;TEXT(입력!F21,"0")&amp;"만 원 이상의 매출을 꾸준히 기록하고 있는 업체입니다."&amp;CHAR(10)&amp;CHAR(10)&amp;"최근 고객 데이터를 분석해 본 결과,"&amp;CHAR(10)&amp;입력!D21&amp;"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"&amp;입력!C21&amp;"께서는"&amp;CHAR(10)&amp;"추가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22" spans="1:3" ht="295.8" x14ac:dyDescent="0.4">
      <c r="A22" s="65">
        <v>21</v>
      </c>
      <c r="B22" s="66" t="str">
        <f>IF(입력!C22="","","안녕하세요, "&amp;입력!C22&amp;"."&amp;CHAR(10)&amp;"저희는 "&amp;입력!E22&amp;"에서 다양한 제품을 판매하며"&amp;CHAR(10)&amp;"월 약 "&amp;TEXT(입력!F22,"0")&amp;"만 원 수준의 매출을 내고 있는 업체입니다."&amp;CHAR(10)&amp;CHAR(10)&amp;"이번에 "&amp;입력!D22&amp;" 쪽으로 판매 영역을 확장하려 하는데,"&amp;CHAR(10)&amp;"혹시 위탁 판매 형태로 협업이 가능하실까요?"&amp;CHAR(10)&amp;입력!C22&amp;"께서는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2" s="66" t="str">
        <f>IF(입력!C22="","","안녕하세요, "&amp;입력!C22&amp;"."&amp;CHAR(10)&amp;"저희는 "&amp;입력!E22&amp;"에서 다양한 제품을 판매하며"&amp;CHAR(10)&amp;"월 "&amp;TEXT(입력!F22,"0")&amp;"만 원 이상의 매출을 꾸준히 기록하고 있는 업체입니다."&amp;CHAR(10)&amp;CHAR(10)&amp;"최근 고객 데이터를 분석해 본 결과,"&amp;CHAR(10)&amp;입력!D22&amp;"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"&amp;입력!C22&amp;"께서는"&amp;CHAR(10)&amp;"추가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23" spans="1:3" ht="295.8" x14ac:dyDescent="0.4">
      <c r="A23" s="65">
        <v>22</v>
      </c>
      <c r="B23" s="66" t="str">
        <f>IF(입력!C23="","","안녕하세요, "&amp;입력!C23&amp;"."&amp;CHAR(10)&amp;"저희는 "&amp;입력!E23&amp;"에서 다양한 제품을 판매하며"&amp;CHAR(10)&amp;"월 약 "&amp;TEXT(입력!F23,"0")&amp;"만 원 수준의 매출을 내고 있는 업체입니다."&amp;CHAR(10)&amp;CHAR(10)&amp;"이번에 "&amp;입력!D23&amp;" 쪽으로 판매 영역을 확장하려 하는데,"&amp;CHAR(10)&amp;"혹시 위탁 판매 형태로 협업이 가능하실까요?"&amp;CHAR(10)&amp;입력!C23&amp;"께서는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3" s="66" t="str">
        <f>IF(입력!C23="","","안녕하세요, "&amp;입력!C23&amp;"."&amp;CHAR(10)&amp;"저희는 "&amp;입력!E23&amp;"에서 다양한 제품을 판매하며"&amp;CHAR(10)&amp;"월 "&amp;TEXT(입력!F23,"0")&amp;"만 원 이상의 매출을 꾸준히 기록하고 있는 업체입니다."&amp;CHAR(10)&amp;CHAR(10)&amp;"최근 고객 데이터를 분석해 본 결과,"&amp;CHAR(10)&amp;입력!D23&amp;"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"&amp;입력!C23&amp;"께서는"&amp;CHAR(10)&amp;"추가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24" spans="1:3" ht="295.8" x14ac:dyDescent="0.4">
      <c r="A24" s="65">
        <v>23</v>
      </c>
      <c r="B24" s="66" t="str">
        <f>IF(입력!C24="","","안녕하세요, "&amp;입력!C24&amp;"."&amp;CHAR(10)&amp;"저희는 "&amp;입력!E24&amp;"에서 다양한 제품을 판매하며"&amp;CHAR(10)&amp;"월 약 "&amp;TEXT(입력!F24,"0")&amp;"만 원 수준의 매출을 내고 있는 업체입니다."&amp;CHAR(10)&amp;CHAR(10)&amp;"이번에 "&amp;입력!D24&amp;" 쪽으로 판매 영역을 확장하려 하는데,"&amp;CHAR(10)&amp;"혹시 위탁 판매 형태로 협업이 가능하실까요?"&amp;CHAR(10)&amp;입력!C24&amp;"께서는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4" s="66" t="str">
        <f>IF(입력!C24="","","안녕하세요, "&amp;입력!C24&amp;"."&amp;CHAR(10)&amp;"저희는 "&amp;입력!E24&amp;"에서 다양한 제품을 판매하며"&amp;CHAR(10)&amp;"월 "&amp;TEXT(입력!F24,"0")&amp;"만 원 이상의 매출을 꾸준히 기록하고 있는 업체입니다."&amp;CHAR(10)&amp;CHAR(10)&amp;"최근 고객 데이터를 분석해 본 결과,"&amp;CHAR(10)&amp;입력!D24&amp;"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"&amp;입력!C24&amp;"께서는"&amp;CHAR(10)&amp;"추가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25" spans="1:3" ht="295.8" x14ac:dyDescent="0.4">
      <c r="A25" s="65">
        <v>24</v>
      </c>
      <c r="B25" s="66" t="str">
        <f>IF(입력!C25="","","안녕하세요, "&amp;입력!C25&amp;"."&amp;CHAR(10)&amp;"저희는 "&amp;입력!E25&amp;"에서 다양한 제품을 판매하며"&amp;CHAR(10)&amp;"월 약 "&amp;TEXT(입력!F25,"0")&amp;"만 원 수준의 매출을 내고 있는 업체입니다."&amp;CHAR(10)&amp;CHAR(10)&amp;"이번에 "&amp;입력!D25&amp;" 쪽으로 판매 영역을 확장하려 하는데,"&amp;CHAR(10)&amp;"혹시 위탁 판매 형태로 협업이 가능하실까요?"&amp;CHAR(10)&amp;입력!C25&amp;"께서는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5" s="66" t="str">
        <f>IF(입력!C25="","","안녕하세요, "&amp;입력!C25&amp;"."&amp;CHAR(10)&amp;"저희는 "&amp;입력!E25&amp;"에서 다양한 제품을 판매하며"&amp;CHAR(10)&amp;"월 "&amp;TEXT(입력!F25,"0")&amp;"만 원 이상의 매출을 꾸준히 기록하고 있는 업체입니다."&amp;CHAR(10)&amp;CHAR(10)&amp;"최근 고객 데이터를 분석해 본 결과,"&amp;CHAR(10)&amp;입력!D25&amp;"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"&amp;입력!C25&amp;"께서는"&amp;CHAR(10)&amp;"추가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26" spans="1:3" ht="295.8" x14ac:dyDescent="0.4">
      <c r="A26" s="65">
        <v>25</v>
      </c>
      <c r="B26" s="66" t="str">
        <f>IF(입력!C26="","","안녕하세요, "&amp;입력!C26&amp;"."&amp;CHAR(10)&amp;"저희는 "&amp;입력!E26&amp;"에서 다양한 제품을 판매하며"&amp;CHAR(10)&amp;"월 약 "&amp;TEXT(입력!F26,"0")&amp;"만 원 수준의 매출을 내고 있는 업체입니다."&amp;CHAR(10)&amp;CHAR(10)&amp;"이번에 "&amp;입력!D26&amp;" 쪽으로 판매 영역을 확장하려 하는데,"&amp;CHAR(10)&amp;"혹시 위탁 판매 형태로 협업이 가능하실까요?"&amp;CHAR(10)&amp;입력!C26&amp;"께서는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6" s="66" t="str">
        <f>IF(입력!C26="","","안녕하세요, "&amp;입력!C26&amp;"."&amp;CHAR(10)&amp;"저희는 "&amp;입력!E26&amp;"에서 다양한 제품을 판매하며"&amp;CHAR(10)&amp;"월 "&amp;TEXT(입력!F26,"0")&amp;"만 원 이상의 매출을 꾸준히 기록하고 있는 업체입니다."&amp;CHAR(10)&amp;CHAR(10)&amp;"최근 고객 데이터를 분석해 본 결과,"&amp;CHAR(10)&amp;입력!D26&amp;"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"&amp;입력!C26&amp;"께서는"&amp;CHAR(10)&amp;"추가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27" spans="1:3" ht="295.8" x14ac:dyDescent="0.4">
      <c r="A27" s="65">
        <v>26</v>
      </c>
      <c r="B27" s="66" t="str">
        <f>IF(입력!C27="","","안녕하세요, "&amp;입력!C27&amp;"."&amp;CHAR(10)&amp;"저희는 "&amp;입력!E27&amp;"에서 다양한 제품을 판매하며"&amp;CHAR(10)&amp;"월 약 "&amp;TEXT(입력!F27,"0")&amp;"만 원 수준의 매출을 내고 있는 업체입니다."&amp;CHAR(10)&amp;CHAR(10)&amp;"이번에 "&amp;입력!D27&amp;" 쪽으로 판매 영역을 확장하려 하는데,"&amp;CHAR(10)&amp;"혹시 위탁 판매 형태로 협업이 가능하실까요?"&amp;CHAR(10)&amp;입력!C27&amp;"께서는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7" s="66" t="str">
        <f>IF(입력!C27="","","안녕하세요, "&amp;입력!C27&amp;"."&amp;CHAR(10)&amp;"저희는 "&amp;입력!E27&amp;"에서 다양한 제품을 판매하며"&amp;CHAR(10)&amp;"월 "&amp;TEXT(입력!F27,"0")&amp;"만 원 이상의 매출을 꾸준히 기록하고 있는 업체입니다."&amp;CHAR(10)&amp;CHAR(10)&amp;"최근 고객 데이터를 분석해 본 결과,"&amp;CHAR(10)&amp;입력!D27&amp;"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"&amp;입력!C27&amp;"께서는"&amp;CHAR(10)&amp;"추가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28" spans="1:3" ht="295.8" x14ac:dyDescent="0.4">
      <c r="A28" s="65">
        <v>27</v>
      </c>
      <c r="B28" s="66" t="str">
        <f>IF(입력!C28="","","안녕하세요, "&amp;입력!C28&amp;"."&amp;CHAR(10)&amp;"저희는 "&amp;입력!E28&amp;"에서 다양한 제품을 판매하며"&amp;CHAR(10)&amp;"월 약 "&amp;TEXT(입력!F28,"0")&amp;"만 원 수준의 매출을 내고 있는 업체입니다."&amp;CHAR(10)&amp;CHAR(10)&amp;"이번에 "&amp;입력!D28&amp;" 쪽으로 판매 영역을 확장하려 하는데,"&amp;CHAR(10)&amp;"혹시 위탁 판매 형태로 협업이 가능하실까요?"&amp;CHAR(10)&amp;입력!C28&amp;"께서는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8" s="66" t="str">
        <f>IF(입력!C28="","","안녕하세요, "&amp;입력!C28&amp;"."&amp;CHAR(10)&amp;"저희는 "&amp;입력!E28&amp;"에서 다양한 제품을 판매하며"&amp;CHAR(10)&amp;"월 "&amp;TEXT(입력!F28,"0")&amp;"만 원 이상의 매출을 꾸준히 기록하고 있는 업체입니다."&amp;CHAR(10)&amp;CHAR(10)&amp;"최근 고객 데이터를 분석해 본 결과,"&amp;CHAR(10)&amp;입력!D28&amp;"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"&amp;입력!C28&amp;"께서는"&amp;CHAR(10)&amp;"추가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29" spans="1:3" ht="295.8" x14ac:dyDescent="0.4">
      <c r="A29" s="65">
        <v>28</v>
      </c>
      <c r="B29" s="66" t="str">
        <f>IF(입력!C29="","","안녕하세요, "&amp;입력!C29&amp;"."&amp;CHAR(10)&amp;"저희는 "&amp;입력!E29&amp;"에서 다양한 제품을 판매하며"&amp;CHAR(10)&amp;"월 약 "&amp;TEXT(입력!F29,"0")&amp;"만 원 수준의 매출을 내고 있는 업체입니다."&amp;CHAR(10)&amp;CHAR(10)&amp;"이번에 "&amp;입력!D29&amp;" 쪽으로 판매 영역을 확장하려 하는데,"&amp;CHAR(10)&amp;"혹시 위탁 판매 형태로 협업이 가능하실까요?"&amp;CHAR(10)&amp;입력!C29&amp;"께서는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29" s="66" t="str">
        <f>IF(입력!C29="","","안녕하세요, "&amp;입력!C29&amp;"."&amp;CHAR(10)&amp;"저희는 "&amp;입력!E29&amp;"에서 다양한 제품을 판매하며"&amp;CHAR(10)&amp;"월 "&amp;TEXT(입력!F29,"0")&amp;"만 원 이상의 매출을 꾸준히 기록하고 있는 업체입니다."&amp;CHAR(10)&amp;CHAR(10)&amp;"최근 고객 데이터를 분석해 본 결과,"&amp;CHAR(10)&amp;입력!D29&amp;"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"&amp;입력!C29&amp;"께서는"&amp;CHAR(10)&amp;"추가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0" spans="1:3" ht="295.8" x14ac:dyDescent="0.4">
      <c r="A30" s="65">
        <v>29</v>
      </c>
      <c r="B30" s="66" t="str">
        <f>IF(입력!C30="","","안녕하세요, "&amp;입력!C30&amp;"."&amp;CHAR(10)&amp;"저희는 "&amp;입력!E30&amp;"에서 다양한 제품을 판매하며"&amp;CHAR(10)&amp;"월 약 "&amp;TEXT(입력!F30,"0")&amp;"만 원 수준의 매출을 내고 있는 업체입니다."&amp;CHAR(10)&amp;CHAR(10)&amp;"이번에 "&amp;입력!D30&amp;" 쪽으로 판매 영역을 확장하려 하는데,"&amp;CHAR(10)&amp;"혹시 위탁 판매 형태로 협업이 가능하실까요?"&amp;CHAR(10)&amp;입력!C30&amp;"께서는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0" s="66" t="str">
        <f>IF(입력!C30="","","안녕하세요, "&amp;입력!C30&amp;"."&amp;CHAR(10)&amp;"저희는 "&amp;입력!E30&amp;"에서 다양한 제품을 판매하며"&amp;CHAR(10)&amp;"월 "&amp;TEXT(입력!F30,"0")&amp;"만 원 이상의 매출을 꾸준히 기록하고 있는 업체입니다."&amp;CHAR(10)&amp;CHAR(10)&amp;"최근 고객 데이터를 분석해 본 결과,"&amp;CHAR(10)&amp;입력!D30&amp;"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"&amp;입력!C30&amp;"께서는"&amp;CHAR(10)&amp;"추가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1" spans="1:3" ht="295.8" x14ac:dyDescent="0.4">
      <c r="A31" s="65">
        <v>30</v>
      </c>
      <c r="B31" s="66" t="str">
        <f>IF(입력!C31="","","안녕하세요, "&amp;입력!C31&amp;"."&amp;CHAR(10)&amp;"저희는 "&amp;입력!E31&amp;"에서 다양한 제품을 판매하며"&amp;CHAR(10)&amp;"월 약 "&amp;TEXT(입력!F31,"0")&amp;"만 원 수준의 매출을 내고 있는 업체입니다."&amp;CHAR(10)&amp;CHAR(10)&amp;"이번에 "&amp;입력!D31&amp;" 쪽으로 판매 영역을 확장하려 하는데,"&amp;CHAR(10)&amp;"혹시 위탁 판매 형태로 협업이 가능하실까요?"&amp;CHAR(10)&amp;입력!C31&amp;"께서는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1" s="66" t="str">
        <f>IF(입력!C31="","","안녕하세요, "&amp;입력!C31&amp;"."&amp;CHAR(10)&amp;"저희는 "&amp;입력!E31&amp;"에서 다양한 제품을 판매하며"&amp;CHAR(10)&amp;"월 "&amp;TEXT(입력!F31,"0")&amp;"만 원 이상의 매출을 꾸준히 기록하고 있는 업체입니다."&amp;CHAR(10)&amp;CHAR(10)&amp;"최근 고객 데이터를 분석해 본 결과,"&amp;CHAR(10)&amp;입력!D31&amp;"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"&amp;입력!C31&amp;"께서는"&amp;CHAR(10)&amp;"추가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2" spans="1:3" ht="295.8" x14ac:dyDescent="0.4">
      <c r="A32" s="65">
        <v>31</v>
      </c>
      <c r="B32" s="66" t="str">
        <f>IF(입력!C32="","","안녕하세요, "&amp;입력!C32&amp;"."&amp;CHAR(10)&amp;"저희는 "&amp;입력!E32&amp;"에서 다양한 제품을 판매하며"&amp;CHAR(10)&amp;"월 약 "&amp;TEXT(입력!F32,"0")&amp;"만 원 수준의 매출을 내고 있는 업체입니다."&amp;CHAR(10)&amp;CHAR(10)&amp;"이번에 "&amp;입력!D32&amp;" 쪽으로 판매 영역을 확장하려 하는데,"&amp;CHAR(10)&amp;"혹시 위탁 판매 형태로 협업이 가능하실까요?"&amp;CHAR(10)&amp;입력!C32&amp;"께서는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2" s="66" t="str">
        <f>IF(입력!C32="","","안녕하세요, "&amp;입력!C32&amp;"."&amp;CHAR(10)&amp;"저희는 "&amp;입력!E32&amp;"에서 다양한 제품을 판매하며"&amp;CHAR(10)&amp;"월 "&amp;TEXT(입력!F32,"0")&amp;"만 원 이상의 매출을 꾸준히 기록하고 있는 업체입니다."&amp;CHAR(10)&amp;CHAR(10)&amp;"최근 고객 데이터를 분석해 본 결과,"&amp;CHAR(10)&amp;입력!D32&amp;"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"&amp;입력!C32&amp;"께서는"&amp;CHAR(10)&amp;"추가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3" spans="1:3" ht="295.8" x14ac:dyDescent="0.4">
      <c r="A33" s="65">
        <v>32</v>
      </c>
      <c r="B33" s="66" t="str">
        <f>IF(입력!C33="","","안녕하세요, "&amp;입력!C33&amp;"."&amp;CHAR(10)&amp;"저희는 "&amp;입력!E33&amp;"에서 다양한 제품을 판매하며"&amp;CHAR(10)&amp;"월 약 "&amp;TEXT(입력!F33,"0")&amp;"만 원 수준의 매출을 내고 있는 업체입니다."&amp;CHAR(10)&amp;CHAR(10)&amp;"이번에 "&amp;입력!D33&amp;" 쪽으로 판매 영역을 확장하려 하는데,"&amp;CHAR(10)&amp;"혹시 위탁 판매 형태로 협업이 가능하실까요?"&amp;CHAR(10)&amp;입력!C33&amp;"께서는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3" s="66" t="str">
        <f>IF(입력!C33="","","안녕하세요, "&amp;입력!C33&amp;"."&amp;CHAR(10)&amp;"저희는 "&amp;입력!E33&amp;"에서 다양한 제품을 판매하며"&amp;CHAR(10)&amp;"월 "&amp;TEXT(입력!F33,"0")&amp;"만 원 이상의 매출을 꾸준히 기록하고 있는 업체입니다."&amp;CHAR(10)&amp;CHAR(10)&amp;"최근 고객 데이터를 분석해 본 결과,"&amp;CHAR(10)&amp;입력!D33&amp;"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"&amp;입력!C33&amp;"께서는"&amp;CHAR(10)&amp;"추가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4" spans="1:3" ht="295.8" x14ac:dyDescent="0.4">
      <c r="A34" s="65">
        <v>33</v>
      </c>
      <c r="B34" s="66" t="str">
        <f>IF(입력!C34="","","안녕하세요, "&amp;입력!C34&amp;"."&amp;CHAR(10)&amp;"저희는 "&amp;입력!E34&amp;"에서 다양한 제품을 판매하며"&amp;CHAR(10)&amp;"월 약 "&amp;TEXT(입력!F34,"0")&amp;"만 원 수준의 매출을 내고 있는 업체입니다."&amp;CHAR(10)&amp;CHAR(10)&amp;"이번에 "&amp;입력!D34&amp;" 쪽으로 판매 영역을 확장하려 하는데,"&amp;CHAR(10)&amp;"혹시 위탁 판매 형태로 협업이 가능하실까요?"&amp;CHAR(10)&amp;입력!C34&amp;"께서는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4" s="66" t="str">
        <f>IF(입력!C34="","","안녕하세요, "&amp;입력!C34&amp;"."&amp;CHAR(10)&amp;"저희는 "&amp;입력!E34&amp;"에서 다양한 제품을 판매하며"&amp;CHAR(10)&amp;"월 "&amp;TEXT(입력!F34,"0")&amp;"만 원 이상의 매출을 꾸준히 기록하고 있는 업체입니다."&amp;CHAR(10)&amp;CHAR(10)&amp;"최근 고객 데이터를 분석해 본 결과,"&amp;CHAR(10)&amp;입력!D34&amp;"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"&amp;입력!C34&amp;"께서는"&amp;CHAR(10)&amp;"추가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5" spans="1:3" ht="295.8" x14ac:dyDescent="0.4">
      <c r="A35" s="65">
        <v>34</v>
      </c>
      <c r="B35" s="66" t="str">
        <f>IF(입력!C35="","","안녕하세요, "&amp;입력!C35&amp;"."&amp;CHAR(10)&amp;"저희는 "&amp;입력!E35&amp;"에서 다양한 제품을 판매하며"&amp;CHAR(10)&amp;"월 약 "&amp;TEXT(입력!F35,"0")&amp;"만 원 수준의 매출을 내고 있는 업체입니다."&amp;CHAR(10)&amp;CHAR(10)&amp;"이번에 "&amp;입력!D35&amp;" 쪽으로 판매 영역을 확장하려 하는데,"&amp;CHAR(10)&amp;"혹시 위탁 판매 형태로 협업이 가능하실까요?"&amp;CHAR(10)&amp;입력!C35&amp;"께서는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5" s="66" t="str">
        <f>IF(입력!C35="","","안녕하세요, "&amp;입력!C35&amp;"."&amp;CHAR(10)&amp;"저희는 "&amp;입력!E35&amp;"에서 다양한 제품을 판매하며"&amp;CHAR(10)&amp;"월 "&amp;TEXT(입력!F35,"0")&amp;"만 원 이상의 매출을 꾸준히 기록하고 있는 업체입니다."&amp;CHAR(10)&amp;CHAR(10)&amp;"최근 고객 데이터를 분석해 본 결과,"&amp;CHAR(10)&amp;입력!D35&amp;"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"&amp;입력!C35&amp;"께서는"&amp;CHAR(10)&amp;"추가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6" spans="1:3" ht="295.8" x14ac:dyDescent="0.4">
      <c r="A36" s="65">
        <v>35</v>
      </c>
      <c r="B36" s="66" t="str">
        <f>IF(입력!C36="","","안녕하세요, "&amp;입력!C36&amp;"."&amp;CHAR(10)&amp;"저희는 "&amp;입력!E36&amp;"에서 다양한 제품을 판매하며"&amp;CHAR(10)&amp;"월 약 "&amp;TEXT(입력!F36,"0")&amp;"만 원 수준의 매출을 내고 있는 업체입니다."&amp;CHAR(10)&amp;CHAR(10)&amp;"이번에 "&amp;입력!D36&amp;" 쪽으로 판매 영역을 확장하려 하는데,"&amp;CHAR(10)&amp;"혹시 위탁 판매 형태로 협업이 가능하실까요?"&amp;CHAR(10)&amp;입력!C36&amp;"께서는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6" s="66" t="str">
        <f>IF(입력!C36="","","안녕하세요, "&amp;입력!C36&amp;"."&amp;CHAR(10)&amp;"저희는 "&amp;입력!E36&amp;"에서 다양한 제품을 판매하며"&amp;CHAR(10)&amp;"월 "&amp;TEXT(입력!F36,"0")&amp;"만 원 이상의 매출을 꾸준히 기록하고 있는 업체입니다."&amp;CHAR(10)&amp;CHAR(10)&amp;"최근 고객 데이터를 분석해 본 결과,"&amp;CHAR(10)&amp;입력!D36&amp;"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"&amp;입력!C36&amp;"께서는"&amp;CHAR(10)&amp;"추가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7" spans="1:3" ht="295.8" x14ac:dyDescent="0.4">
      <c r="A37" s="65">
        <v>36</v>
      </c>
      <c r="B37" s="66" t="str">
        <f>IF(입력!C37="","","안녕하세요, "&amp;입력!C37&amp;"."&amp;CHAR(10)&amp;"저희는 "&amp;입력!E37&amp;"에서 다양한 제품을 판매하며"&amp;CHAR(10)&amp;"월 약 "&amp;TEXT(입력!F37,"0")&amp;"만 원 수준의 매출을 내고 있는 업체입니다."&amp;CHAR(10)&amp;CHAR(10)&amp;"이번에 "&amp;입력!D37&amp;" 쪽으로 판매 영역을 확장하려 하는데,"&amp;CHAR(10)&amp;"혹시 위탁 판매 형태로 협업이 가능하실까요?"&amp;CHAR(10)&amp;입력!C37&amp;"께서는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7" s="66" t="str">
        <f>IF(입력!C37="","","안녕하세요, "&amp;입력!C37&amp;"."&amp;CHAR(10)&amp;"저희는 "&amp;입력!E37&amp;"에서 다양한 제품을 판매하며"&amp;CHAR(10)&amp;"월 "&amp;TEXT(입력!F37,"0")&amp;"만 원 이상의 매출을 꾸준히 기록하고 있는 업체입니다."&amp;CHAR(10)&amp;CHAR(10)&amp;"최근 고객 데이터를 분석해 본 결과,"&amp;CHAR(10)&amp;입력!D37&amp;"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"&amp;입력!C37&amp;"께서는"&amp;CHAR(10)&amp;"추가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8" spans="1:3" ht="295.8" x14ac:dyDescent="0.4">
      <c r="A38" s="65">
        <v>37</v>
      </c>
      <c r="B38" s="66" t="str">
        <f>IF(입력!C38="","","안녕하세요, "&amp;입력!C38&amp;"."&amp;CHAR(10)&amp;"저희는 "&amp;입력!E38&amp;"에서 다양한 제품을 판매하며"&amp;CHAR(10)&amp;"월 약 "&amp;TEXT(입력!F38,"0")&amp;"만 원 수준의 매출을 내고 있는 업체입니다."&amp;CHAR(10)&amp;CHAR(10)&amp;"이번에 "&amp;입력!D38&amp;" 쪽으로 판매 영역을 확장하려 하는데,"&amp;CHAR(10)&amp;"혹시 위탁 판매 형태로 협업이 가능하실까요?"&amp;CHAR(10)&amp;입력!C38&amp;"께서는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8" s="66" t="str">
        <f>IF(입력!C38="","","안녕하세요, "&amp;입력!C38&amp;"."&amp;CHAR(10)&amp;"저희는 "&amp;입력!E38&amp;"에서 다양한 제품을 판매하며"&amp;CHAR(10)&amp;"월 "&amp;TEXT(입력!F38,"0")&amp;"만 원 이상의 매출을 꾸준히 기록하고 있는 업체입니다."&amp;CHAR(10)&amp;CHAR(10)&amp;"최근 고객 데이터를 분석해 본 결과,"&amp;CHAR(10)&amp;입력!D38&amp;"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"&amp;입력!C38&amp;"께서는"&amp;CHAR(10)&amp;"추가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39" spans="1:3" ht="295.8" x14ac:dyDescent="0.4">
      <c r="A39" s="65">
        <v>38</v>
      </c>
      <c r="B39" s="66" t="str">
        <f>IF(입력!C39="","","안녕하세요, "&amp;입력!C39&amp;"."&amp;CHAR(10)&amp;"저희는 "&amp;입력!E39&amp;"에서 다양한 제품을 판매하며"&amp;CHAR(10)&amp;"월 약 "&amp;TEXT(입력!F39,"0")&amp;"만 원 수준의 매출을 내고 있는 업체입니다."&amp;CHAR(10)&amp;CHAR(10)&amp;"이번에 "&amp;입력!D39&amp;" 쪽으로 판매 영역을 확장하려 하는데,"&amp;CHAR(10)&amp;"혹시 위탁 판매 형태로 협업이 가능하실까요?"&amp;CHAR(10)&amp;입력!C39&amp;"께서는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39" s="66" t="str">
        <f>IF(입력!C39="","","안녕하세요, "&amp;입력!C39&amp;"."&amp;CHAR(10)&amp;"저희는 "&amp;입력!E39&amp;"에서 다양한 제품을 판매하며"&amp;CHAR(10)&amp;"월 "&amp;TEXT(입력!F39,"0")&amp;"만 원 이상의 매출을 꾸준히 기록하고 있는 업체입니다."&amp;CHAR(10)&amp;CHAR(10)&amp;"최근 고객 데이터를 분석해 본 결과,"&amp;CHAR(10)&amp;입력!D39&amp;"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"&amp;입력!C39&amp;"께서는"&amp;CHAR(10)&amp;"추가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0" spans="1:3" ht="295.8" x14ac:dyDescent="0.4">
      <c r="A40" s="65">
        <v>39</v>
      </c>
      <c r="B40" s="66" t="str">
        <f>IF(입력!C40="","","안녕하세요, "&amp;입력!C40&amp;"."&amp;CHAR(10)&amp;"저희는 "&amp;입력!E40&amp;"에서 다양한 제품을 판매하며"&amp;CHAR(10)&amp;"월 약 "&amp;TEXT(입력!F40,"0")&amp;"만 원 수준의 매출을 내고 있는 업체입니다."&amp;CHAR(10)&amp;CHAR(10)&amp;"이번에 "&amp;입력!D40&amp;" 쪽으로 판매 영역을 확장하려 하는데,"&amp;CHAR(10)&amp;"혹시 위탁 판매 형태로 협업이 가능하실까요?"&amp;CHAR(10)&amp;입력!C40&amp;"께서는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0" s="66" t="str">
        <f>IF(입력!C40="","","안녕하세요, "&amp;입력!C40&amp;"."&amp;CHAR(10)&amp;"저희는 "&amp;입력!E40&amp;"에서 다양한 제품을 판매하며"&amp;CHAR(10)&amp;"월 "&amp;TEXT(입력!F40,"0")&amp;"만 원 이상의 매출을 꾸준히 기록하고 있는 업체입니다."&amp;CHAR(10)&amp;CHAR(10)&amp;"최근 고객 데이터를 분석해 본 결과,"&amp;CHAR(10)&amp;입력!D40&amp;"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"&amp;입력!C40&amp;"께서는"&amp;CHAR(10)&amp;"추가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1" spans="1:3" ht="295.8" x14ac:dyDescent="0.4">
      <c r="A41" s="65">
        <v>40</v>
      </c>
      <c r="B41" s="66" t="str">
        <f>IF(입력!C41="","","안녕하세요, "&amp;입력!C41&amp;"."&amp;CHAR(10)&amp;"저희는 "&amp;입력!E41&amp;"에서 다양한 제품을 판매하며"&amp;CHAR(10)&amp;"월 약 "&amp;TEXT(입력!F41,"0")&amp;"만 원 수준의 매출을 내고 있는 업체입니다."&amp;CHAR(10)&amp;CHAR(10)&amp;"이번에 "&amp;입력!D41&amp;" 쪽으로 판매 영역을 확장하려 하는데,"&amp;CHAR(10)&amp;"혹시 위탁 판매 형태로 협업이 가능하실까요?"&amp;CHAR(10)&amp;입력!C41&amp;"께서는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1" s="66" t="str">
        <f>IF(입력!C41="","","안녕하세요, "&amp;입력!C41&amp;"."&amp;CHAR(10)&amp;"저희는 "&amp;입력!E41&amp;"에서 다양한 제품을 판매하며"&amp;CHAR(10)&amp;"월 "&amp;TEXT(입력!F41,"0")&amp;"만 원 이상의 매출을 꾸준히 기록하고 있는 업체입니다."&amp;CHAR(10)&amp;CHAR(10)&amp;"최근 고객 데이터를 분석해 본 결과,"&amp;CHAR(10)&amp;입력!D41&amp;"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"&amp;입력!C41&amp;"께서는"&amp;CHAR(10)&amp;"추가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2" spans="1:3" ht="295.8" x14ac:dyDescent="0.4">
      <c r="A42" s="65">
        <v>41</v>
      </c>
      <c r="B42" s="66" t="str">
        <f>IF(입력!C42="","","안녕하세요, "&amp;입력!C42&amp;"."&amp;CHAR(10)&amp;"저희는 "&amp;입력!E42&amp;"에서 다양한 제품을 판매하며"&amp;CHAR(10)&amp;"월 약 "&amp;TEXT(입력!F42,"0")&amp;"만 원 수준의 매출을 내고 있는 업체입니다."&amp;CHAR(10)&amp;CHAR(10)&amp;"이번에 "&amp;입력!D42&amp;" 쪽으로 판매 영역을 확장하려 하는데,"&amp;CHAR(10)&amp;"혹시 위탁 판매 형태로 협업이 가능하실까요?"&amp;CHAR(10)&amp;입력!C42&amp;"께서는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2" s="66" t="str">
        <f>IF(입력!C42="","","안녕하세요, "&amp;입력!C42&amp;"."&amp;CHAR(10)&amp;"저희는 "&amp;입력!E42&amp;"에서 다양한 제품을 판매하며"&amp;CHAR(10)&amp;"월 "&amp;TEXT(입력!F42,"0")&amp;"만 원 이상의 매출을 꾸준히 기록하고 있는 업체입니다."&amp;CHAR(10)&amp;CHAR(10)&amp;"최근 고객 데이터를 분석해 본 결과,"&amp;CHAR(10)&amp;입력!D42&amp;"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"&amp;입력!C42&amp;"께서는"&amp;CHAR(10)&amp;"추가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3" spans="1:3" ht="295.8" x14ac:dyDescent="0.4">
      <c r="A43" s="65">
        <v>42</v>
      </c>
      <c r="B43" s="66" t="str">
        <f>IF(입력!C43="","","안녕하세요, "&amp;입력!C43&amp;"."&amp;CHAR(10)&amp;"저희는 "&amp;입력!E43&amp;"에서 다양한 제품을 판매하며"&amp;CHAR(10)&amp;"월 약 "&amp;TEXT(입력!F43,"0")&amp;"만 원 수준의 매출을 내고 있는 업체입니다."&amp;CHAR(10)&amp;CHAR(10)&amp;"이번에 "&amp;입력!D43&amp;" 쪽으로 판매 영역을 확장하려 하는데,"&amp;CHAR(10)&amp;"혹시 위탁 판매 형태로 협업이 가능하실까요?"&amp;CHAR(10)&amp;입력!C43&amp;"께서는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3" s="66" t="str">
        <f>IF(입력!C43="","","안녕하세요, "&amp;입력!C43&amp;"."&amp;CHAR(10)&amp;"저희는 "&amp;입력!E43&amp;"에서 다양한 제품을 판매하며"&amp;CHAR(10)&amp;"월 "&amp;TEXT(입력!F43,"0")&amp;"만 원 이상의 매출을 꾸준히 기록하고 있는 업체입니다."&amp;CHAR(10)&amp;CHAR(10)&amp;"최근 고객 데이터를 분석해 본 결과,"&amp;CHAR(10)&amp;입력!D43&amp;"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"&amp;입력!C43&amp;"께서는"&amp;CHAR(10)&amp;"추가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4" spans="1:3" ht="295.8" x14ac:dyDescent="0.4">
      <c r="A44" s="65">
        <v>43</v>
      </c>
      <c r="B44" s="66" t="str">
        <f>IF(입력!C44="","","안녕하세요, "&amp;입력!C44&amp;"."&amp;CHAR(10)&amp;"저희는 "&amp;입력!E44&amp;"에서 다양한 제품을 판매하며"&amp;CHAR(10)&amp;"월 약 "&amp;TEXT(입력!F44,"0")&amp;"만 원 수준의 매출을 내고 있는 업체입니다."&amp;CHAR(10)&amp;CHAR(10)&amp;"이번에 "&amp;입력!D44&amp;" 쪽으로 판매 영역을 확장하려 하는데,"&amp;CHAR(10)&amp;"혹시 위탁 판매 형태로 협업이 가능하실까요?"&amp;CHAR(10)&amp;입력!C44&amp;"께서는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4" s="66" t="str">
        <f>IF(입력!C44="","","안녕하세요, "&amp;입력!C44&amp;"."&amp;CHAR(10)&amp;"저희는 "&amp;입력!E44&amp;"에서 다양한 제품을 판매하며"&amp;CHAR(10)&amp;"월 "&amp;TEXT(입력!F44,"0")&amp;"만 원 이상의 매출을 꾸준히 기록하고 있는 업체입니다."&amp;CHAR(10)&amp;CHAR(10)&amp;"최근 고객 데이터를 분석해 본 결과,"&amp;CHAR(10)&amp;입력!D44&amp;"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"&amp;입력!C44&amp;"께서는"&amp;CHAR(10)&amp;"추가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5" spans="1:3" ht="295.8" x14ac:dyDescent="0.4">
      <c r="A45" s="65">
        <v>44</v>
      </c>
      <c r="B45" s="66" t="str">
        <f>IF(입력!C45="","","안녕하세요, "&amp;입력!C45&amp;"."&amp;CHAR(10)&amp;"저희는 "&amp;입력!E45&amp;"에서 다양한 제품을 판매하며"&amp;CHAR(10)&amp;"월 약 "&amp;TEXT(입력!F45,"0")&amp;"만 원 수준의 매출을 내고 있는 업체입니다."&amp;CHAR(10)&amp;CHAR(10)&amp;"이번에 "&amp;입력!D45&amp;" 쪽으로 판매 영역을 확장하려 하는데,"&amp;CHAR(10)&amp;"혹시 위탁 판매 형태로 협업이 가능하실까요?"&amp;CHAR(10)&amp;입력!C45&amp;"께서는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5" s="66" t="str">
        <f>IF(입력!C45="","","안녕하세요, "&amp;입력!C45&amp;"."&amp;CHAR(10)&amp;"저희는 "&amp;입력!E45&amp;"에서 다양한 제품을 판매하며"&amp;CHAR(10)&amp;"월 "&amp;TEXT(입력!F45,"0")&amp;"만 원 이상의 매출을 꾸준히 기록하고 있는 업체입니다."&amp;CHAR(10)&amp;CHAR(10)&amp;"최근 고객 데이터를 분석해 본 결과,"&amp;CHAR(10)&amp;입력!D45&amp;"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"&amp;입력!C45&amp;"께서는"&amp;CHAR(10)&amp;"추가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6" spans="1:3" ht="295.8" x14ac:dyDescent="0.4">
      <c r="A46" s="65">
        <v>45</v>
      </c>
      <c r="B46" s="66" t="str">
        <f>IF(입력!C46="","","안녕하세요, "&amp;입력!C46&amp;"."&amp;CHAR(10)&amp;"저희는 "&amp;입력!E46&amp;"에서 다양한 제품을 판매하며"&amp;CHAR(10)&amp;"월 약 "&amp;TEXT(입력!F46,"0")&amp;"만 원 수준의 매출을 내고 있는 업체입니다."&amp;CHAR(10)&amp;CHAR(10)&amp;"이번에 "&amp;입력!D46&amp;" 쪽으로 판매 영역을 확장하려 하는데,"&amp;CHAR(10)&amp;"혹시 위탁 판매 형태로 협업이 가능하실까요?"&amp;CHAR(10)&amp;입력!C46&amp;"께서는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6" s="66" t="str">
        <f>IF(입력!C46="","","안녕하세요, "&amp;입력!C46&amp;"."&amp;CHAR(10)&amp;"저희는 "&amp;입력!E46&amp;"에서 다양한 제품을 판매하며"&amp;CHAR(10)&amp;"월 "&amp;TEXT(입력!F46,"0")&amp;"만 원 이상의 매출을 꾸준히 기록하고 있는 업체입니다."&amp;CHAR(10)&amp;CHAR(10)&amp;"최근 고객 데이터를 분석해 본 결과,"&amp;CHAR(10)&amp;입력!D46&amp;"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"&amp;입력!C46&amp;"께서는"&amp;CHAR(10)&amp;"추가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7" spans="1:3" ht="295.8" x14ac:dyDescent="0.4">
      <c r="A47" s="65">
        <v>46</v>
      </c>
      <c r="B47" s="66" t="str">
        <f>IF(입력!C47="","","안녕하세요, "&amp;입력!C47&amp;"."&amp;CHAR(10)&amp;"저희는 "&amp;입력!E47&amp;"에서 다양한 제품을 판매하며"&amp;CHAR(10)&amp;"월 약 "&amp;TEXT(입력!F47,"0")&amp;"만 원 수준의 매출을 내고 있는 업체입니다."&amp;CHAR(10)&amp;CHAR(10)&amp;"이번에 "&amp;입력!D47&amp;" 쪽으로 판매 영역을 확장하려 하는데,"&amp;CHAR(10)&amp;"혹시 위탁 판매 형태로 협업이 가능하실까요?"&amp;CHAR(10)&amp;입력!C47&amp;"께서는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7" s="66" t="str">
        <f>IF(입력!C47="","","안녕하세요, "&amp;입력!C47&amp;"."&amp;CHAR(10)&amp;"저희는 "&amp;입력!E47&amp;"에서 다양한 제품을 판매하며"&amp;CHAR(10)&amp;"월 "&amp;TEXT(입력!F47,"0")&amp;"만 원 이상의 매출을 꾸준히 기록하고 있는 업체입니다."&amp;CHAR(10)&amp;CHAR(10)&amp;"최근 고객 데이터를 분석해 본 결과,"&amp;CHAR(10)&amp;입력!D47&amp;"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"&amp;입력!C47&amp;"께서는"&amp;CHAR(10)&amp;"추가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8" spans="1:3" ht="295.8" x14ac:dyDescent="0.4">
      <c r="A48" s="65">
        <v>47</v>
      </c>
      <c r="B48" s="66" t="str">
        <f>IF(입력!C48="","","안녕하세요, "&amp;입력!C48&amp;"."&amp;CHAR(10)&amp;"저희는 "&amp;입력!E48&amp;"에서 다양한 제품을 판매하며"&amp;CHAR(10)&amp;"월 약 "&amp;TEXT(입력!F48,"0")&amp;"만 원 수준의 매출을 내고 있는 업체입니다."&amp;CHAR(10)&amp;CHAR(10)&amp;"이번에 "&amp;입력!D48&amp;" 쪽으로 판매 영역을 확장하려 하는데,"&amp;CHAR(10)&amp;"혹시 위탁 판매 형태로 협업이 가능하실까요?"&amp;CHAR(10)&amp;입력!C48&amp;"께서는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8" s="66" t="str">
        <f>IF(입력!C48="","","안녕하세요, "&amp;입력!C48&amp;"."&amp;CHAR(10)&amp;"저희는 "&amp;입력!E48&amp;"에서 다양한 제품을 판매하며"&amp;CHAR(10)&amp;"월 "&amp;TEXT(입력!F48,"0")&amp;"만 원 이상의 매출을 꾸준히 기록하고 있는 업체입니다."&amp;CHAR(10)&amp;CHAR(10)&amp;"최근 고객 데이터를 분석해 본 결과,"&amp;CHAR(10)&amp;입력!D48&amp;"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"&amp;입력!C48&amp;"께서는"&amp;CHAR(10)&amp;"추가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49" spans="1:3" ht="295.8" x14ac:dyDescent="0.4">
      <c r="A49" s="65">
        <v>48</v>
      </c>
      <c r="B49" s="66" t="str">
        <f>IF(입력!C49="","","안녕하세요, "&amp;입력!C49&amp;"."&amp;CHAR(10)&amp;"저희는 "&amp;입력!E49&amp;"에서 다양한 제품을 판매하며"&amp;CHAR(10)&amp;"월 약 "&amp;TEXT(입력!F49,"0")&amp;"만 원 수준의 매출을 내고 있는 업체입니다."&amp;CHAR(10)&amp;CHAR(10)&amp;"이번에 "&amp;입력!D49&amp;" 쪽으로 판매 영역을 확장하려 하는데,"&amp;CHAR(10)&amp;"혹시 위탁 판매 형태로 협업이 가능하실까요?"&amp;CHAR(10)&amp;입력!C49&amp;"께서는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49" s="66" t="str">
        <f>IF(입력!C49="","","안녕하세요, "&amp;입력!C49&amp;"."&amp;CHAR(10)&amp;"저희는 "&amp;입력!E49&amp;"에서 다양한 제품을 판매하며"&amp;CHAR(10)&amp;"월 "&amp;TEXT(입력!F49,"0")&amp;"만 원 이상의 매출을 꾸준히 기록하고 있는 업체입니다."&amp;CHAR(10)&amp;CHAR(10)&amp;"최근 고객 데이터를 분석해 본 결과,"&amp;CHAR(10)&amp;입력!D49&amp;"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"&amp;입력!C49&amp;"께서는"&amp;CHAR(10)&amp;"추가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0" spans="1:3" ht="295.8" x14ac:dyDescent="0.4">
      <c r="A50" s="65">
        <v>49</v>
      </c>
      <c r="B50" s="66" t="str">
        <f>IF(입력!C50="","","안녕하세요, "&amp;입력!C50&amp;"."&amp;CHAR(10)&amp;"저희는 "&amp;입력!E50&amp;"에서 다양한 제품을 판매하며"&amp;CHAR(10)&amp;"월 약 "&amp;TEXT(입력!F50,"0")&amp;"만 원 수준의 매출을 내고 있는 업체입니다."&amp;CHAR(10)&amp;CHAR(10)&amp;"이번에 "&amp;입력!D50&amp;" 쪽으로 판매 영역을 확장하려 하는데,"&amp;CHAR(10)&amp;"혹시 위탁 판매 형태로 협업이 가능하실까요?"&amp;CHAR(10)&amp;입력!C50&amp;"께서는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0" s="66" t="str">
        <f>IF(입력!C50="","","안녕하세요, "&amp;입력!C50&amp;"."&amp;CHAR(10)&amp;"저희는 "&amp;입력!E50&amp;"에서 다양한 제품을 판매하며"&amp;CHAR(10)&amp;"월 "&amp;TEXT(입력!F50,"0")&amp;"만 원 이상의 매출을 꾸준히 기록하고 있는 업체입니다."&amp;CHAR(10)&amp;CHAR(10)&amp;"최근 고객 데이터를 분석해 본 결과,"&amp;CHAR(10)&amp;입력!D50&amp;"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"&amp;입력!C50&amp;"께서는"&amp;CHAR(10)&amp;"추가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1" spans="1:3" ht="295.8" x14ac:dyDescent="0.4">
      <c r="A51" s="65">
        <v>50</v>
      </c>
      <c r="B51" s="66" t="str">
        <f>IF(입력!C51="","","안녕하세요, "&amp;입력!C51&amp;"."&amp;CHAR(10)&amp;"저희는 "&amp;입력!E51&amp;"에서 다양한 제품을 판매하며"&amp;CHAR(10)&amp;"월 약 "&amp;TEXT(입력!F51,"0")&amp;"만 원 수준의 매출을 내고 있는 업체입니다."&amp;CHAR(10)&amp;CHAR(10)&amp;"이번에 "&amp;입력!D51&amp;" 쪽으로 판매 영역을 확장하려 하는데,"&amp;CHAR(10)&amp;"혹시 위탁 판매 형태로 협업이 가능하실까요?"&amp;CHAR(10)&amp;입력!C51&amp;"께서는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1" s="66" t="str">
        <f>IF(입력!C51="","","안녕하세요, "&amp;입력!C51&amp;"."&amp;CHAR(10)&amp;"저희는 "&amp;입력!E51&amp;"에서 다양한 제품을 판매하며"&amp;CHAR(10)&amp;"월 "&amp;TEXT(입력!F51,"0")&amp;"만 원 이상의 매출을 꾸준히 기록하고 있는 업체입니다."&amp;CHAR(10)&amp;CHAR(10)&amp;"최근 고객 데이터를 분석해 본 결과,"&amp;CHAR(10)&amp;입력!D51&amp;"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"&amp;입력!C51&amp;"께서는"&amp;CHAR(10)&amp;"추가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2" spans="1:3" ht="295.8" x14ac:dyDescent="0.4">
      <c r="A52" s="65">
        <v>51</v>
      </c>
      <c r="B52" s="66" t="str">
        <f>IF(입력!C52="","","안녕하세요, "&amp;입력!C52&amp;"."&amp;CHAR(10)&amp;"저희는 "&amp;입력!E52&amp;"에서 다양한 제품을 판매하며"&amp;CHAR(10)&amp;"월 약 "&amp;TEXT(입력!F52,"0")&amp;"만 원 수준의 매출을 내고 있는 업체입니다."&amp;CHAR(10)&amp;CHAR(10)&amp;"이번에 "&amp;입력!D52&amp;" 쪽으로 판매 영역을 확장하려 하는데,"&amp;CHAR(10)&amp;"혹시 위탁 판매 형태로 협업이 가능하실까요?"&amp;CHAR(10)&amp;입력!C52&amp;"께서는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2" s="66" t="str">
        <f>IF(입력!C52="","","안녕하세요, "&amp;입력!C52&amp;"."&amp;CHAR(10)&amp;"저희는 "&amp;입력!E52&amp;"에서 다양한 제품을 판매하며"&amp;CHAR(10)&amp;"월 "&amp;TEXT(입력!F52,"0")&amp;"만 원 이상의 매출을 꾸준히 기록하고 있는 업체입니다."&amp;CHAR(10)&amp;CHAR(10)&amp;"최근 고객 데이터를 분석해 본 결과,"&amp;CHAR(10)&amp;입력!D52&amp;"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"&amp;입력!C52&amp;"께서는"&amp;CHAR(10)&amp;"추가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3" spans="1:3" ht="295.8" x14ac:dyDescent="0.4">
      <c r="A53" s="65">
        <v>52</v>
      </c>
      <c r="B53" s="66" t="str">
        <f>IF(입력!C53="","","안녕하세요, "&amp;입력!C53&amp;"."&amp;CHAR(10)&amp;"저희는 "&amp;입력!E53&amp;"에서 다양한 제품을 판매하며"&amp;CHAR(10)&amp;"월 약 "&amp;TEXT(입력!F53,"0")&amp;"만 원 수준의 매출을 내고 있는 업체입니다."&amp;CHAR(10)&amp;CHAR(10)&amp;"이번에 "&amp;입력!D53&amp;" 쪽으로 판매 영역을 확장하려 하는데,"&amp;CHAR(10)&amp;"혹시 위탁 판매 형태로 협업이 가능하실까요?"&amp;CHAR(10)&amp;입력!C53&amp;"께서는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3" s="66" t="str">
        <f>IF(입력!C53="","","안녕하세요, "&amp;입력!C53&amp;"."&amp;CHAR(10)&amp;"저희는 "&amp;입력!E53&amp;"에서 다양한 제품을 판매하며"&amp;CHAR(10)&amp;"월 "&amp;TEXT(입력!F53,"0")&amp;"만 원 이상의 매출을 꾸준히 기록하고 있는 업체입니다."&amp;CHAR(10)&amp;CHAR(10)&amp;"최근 고객 데이터를 분석해 본 결과,"&amp;CHAR(10)&amp;입력!D53&amp;"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"&amp;입력!C53&amp;"께서는"&amp;CHAR(10)&amp;"추가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4" spans="1:3" ht="295.8" x14ac:dyDescent="0.4">
      <c r="A54" s="65">
        <v>53</v>
      </c>
      <c r="B54" s="66" t="str">
        <f>IF(입력!C54="","","안녕하세요, "&amp;입력!C54&amp;"."&amp;CHAR(10)&amp;"저희는 "&amp;입력!E54&amp;"에서 다양한 제품을 판매하며"&amp;CHAR(10)&amp;"월 약 "&amp;TEXT(입력!F54,"0")&amp;"만 원 수준의 매출을 내고 있는 업체입니다."&amp;CHAR(10)&amp;CHAR(10)&amp;"이번에 "&amp;입력!D54&amp;" 쪽으로 판매 영역을 확장하려 하는데,"&amp;CHAR(10)&amp;"혹시 위탁 판매 형태로 협업이 가능하실까요?"&amp;CHAR(10)&amp;입력!C54&amp;"께서는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4" s="66" t="str">
        <f>IF(입력!C54="","","안녕하세요, "&amp;입력!C54&amp;"."&amp;CHAR(10)&amp;"저희는 "&amp;입력!E54&amp;"에서 다양한 제품을 판매하며"&amp;CHAR(10)&amp;"월 "&amp;TEXT(입력!F54,"0")&amp;"만 원 이상의 매출을 꾸준히 기록하고 있는 업체입니다."&amp;CHAR(10)&amp;CHAR(10)&amp;"최근 고객 데이터를 분석해 본 결과,"&amp;CHAR(10)&amp;입력!D54&amp;"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"&amp;입력!C54&amp;"께서는"&amp;CHAR(10)&amp;"추가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5" spans="1:3" ht="295.8" x14ac:dyDescent="0.4">
      <c r="A55" s="65">
        <v>54</v>
      </c>
      <c r="B55" s="66" t="str">
        <f>IF(입력!C55="","","안녕하세요, "&amp;입력!C55&amp;"."&amp;CHAR(10)&amp;"저희는 "&amp;입력!E55&amp;"에서 다양한 제품을 판매하며"&amp;CHAR(10)&amp;"월 약 "&amp;TEXT(입력!F55,"0")&amp;"만 원 수준의 매출을 내고 있는 업체입니다."&amp;CHAR(10)&amp;CHAR(10)&amp;"이번에 "&amp;입력!D55&amp;" 쪽으로 판매 영역을 확장하려 하는데,"&amp;CHAR(10)&amp;"혹시 위탁 판매 형태로 협업이 가능하실까요?"&amp;CHAR(10)&amp;입력!C55&amp;"께서는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5" s="66" t="str">
        <f>IF(입력!C55="","","안녕하세요, "&amp;입력!C55&amp;"."&amp;CHAR(10)&amp;"저희는 "&amp;입력!E55&amp;"에서 다양한 제품을 판매하며"&amp;CHAR(10)&amp;"월 "&amp;TEXT(입력!F55,"0")&amp;"만 원 이상의 매출을 꾸준히 기록하고 있는 업체입니다."&amp;CHAR(10)&amp;CHAR(10)&amp;"최근 고객 데이터를 분석해 본 결과,"&amp;CHAR(10)&amp;입력!D55&amp;"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"&amp;입력!C55&amp;"께서는"&amp;CHAR(10)&amp;"추가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6" spans="1:3" ht="295.8" x14ac:dyDescent="0.4">
      <c r="A56" s="65">
        <v>55</v>
      </c>
      <c r="B56" s="66" t="str">
        <f>IF(입력!C56="","","안녕하세요, "&amp;입력!C56&amp;"."&amp;CHAR(10)&amp;"저희는 "&amp;입력!E56&amp;"에서 다양한 제품을 판매하며"&amp;CHAR(10)&amp;"월 약 "&amp;TEXT(입력!F56,"0")&amp;"만 원 수준의 매출을 내고 있는 업체입니다."&amp;CHAR(10)&amp;CHAR(10)&amp;"이번에 "&amp;입력!D56&amp;" 쪽으로 판매 영역을 확장하려 하는데,"&amp;CHAR(10)&amp;"혹시 위탁 판매 형태로 협업이 가능하실까요?"&amp;CHAR(10)&amp;입력!C56&amp;"께서는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6" s="66" t="str">
        <f>IF(입력!C56="","","안녕하세요, "&amp;입력!C56&amp;"."&amp;CHAR(10)&amp;"저희는 "&amp;입력!E56&amp;"에서 다양한 제품을 판매하며"&amp;CHAR(10)&amp;"월 "&amp;TEXT(입력!F56,"0")&amp;"만 원 이상의 매출을 꾸준히 기록하고 있는 업체입니다."&amp;CHAR(10)&amp;CHAR(10)&amp;"최근 고객 데이터를 분석해 본 결과,"&amp;CHAR(10)&amp;입력!D56&amp;"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"&amp;입력!C56&amp;"께서는"&amp;CHAR(10)&amp;"추가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7" spans="1:3" ht="295.8" x14ac:dyDescent="0.4">
      <c r="A57" s="65">
        <v>56</v>
      </c>
      <c r="B57" s="66" t="str">
        <f>IF(입력!C57="","","안녕하세요, "&amp;입력!C57&amp;"."&amp;CHAR(10)&amp;"저희는 "&amp;입력!E57&amp;"에서 다양한 제품을 판매하며"&amp;CHAR(10)&amp;"월 약 "&amp;TEXT(입력!F57,"0")&amp;"만 원 수준의 매출을 내고 있는 업체입니다."&amp;CHAR(10)&amp;CHAR(10)&amp;"이번에 "&amp;입력!D57&amp;" 쪽으로 판매 영역을 확장하려 하는데,"&amp;CHAR(10)&amp;"혹시 위탁 판매 형태로 협업이 가능하실까요?"&amp;CHAR(10)&amp;입력!C57&amp;"께서는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7" s="66" t="str">
        <f>IF(입력!C57="","","안녕하세요, "&amp;입력!C57&amp;"."&amp;CHAR(10)&amp;"저희는 "&amp;입력!E57&amp;"에서 다양한 제품을 판매하며"&amp;CHAR(10)&amp;"월 "&amp;TEXT(입력!F57,"0")&amp;"만 원 이상의 매출을 꾸준히 기록하고 있는 업체입니다."&amp;CHAR(10)&amp;CHAR(10)&amp;"최근 고객 데이터를 분석해 본 결과,"&amp;CHAR(10)&amp;입력!D57&amp;"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"&amp;입력!C57&amp;"께서는"&amp;CHAR(10)&amp;"추가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8" spans="1:3" ht="295.8" x14ac:dyDescent="0.4">
      <c r="A58" s="65">
        <v>57</v>
      </c>
      <c r="B58" s="66" t="str">
        <f>IF(입력!C58="","","안녕하세요, "&amp;입력!C58&amp;"."&amp;CHAR(10)&amp;"저희는 "&amp;입력!E58&amp;"에서 다양한 제품을 판매하며"&amp;CHAR(10)&amp;"월 약 "&amp;TEXT(입력!F58,"0")&amp;"만 원 수준의 매출을 내고 있는 업체입니다."&amp;CHAR(10)&amp;CHAR(10)&amp;"이번에 "&amp;입력!D58&amp;" 쪽으로 판매 영역을 확장하려 하는데,"&amp;CHAR(10)&amp;"혹시 위탁 판매 형태로 협업이 가능하실까요?"&amp;CHAR(10)&amp;입력!C58&amp;"께서는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8" s="66" t="str">
        <f>IF(입력!C58="","","안녕하세요, "&amp;입력!C58&amp;"."&amp;CHAR(10)&amp;"저희는 "&amp;입력!E58&amp;"에서 다양한 제품을 판매하며"&amp;CHAR(10)&amp;"월 "&amp;TEXT(입력!F58,"0")&amp;"만 원 이상의 매출을 꾸준히 기록하고 있는 업체입니다."&amp;CHAR(10)&amp;CHAR(10)&amp;"최근 고객 데이터를 분석해 본 결과,"&amp;CHAR(10)&amp;입력!D58&amp;"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"&amp;입력!C58&amp;"께서는"&amp;CHAR(10)&amp;"추가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59" spans="1:3" ht="295.8" x14ac:dyDescent="0.4">
      <c r="A59" s="65">
        <v>58</v>
      </c>
      <c r="B59" s="66" t="str">
        <f>IF(입력!C59="","","안녕하세요, "&amp;입력!C59&amp;"."&amp;CHAR(10)&amp;"저희는 "&amp;입력!E59&amp;"에서 다양한 제품을 판매하며"&amp;CHAR(10)&amp;"월 약 "&amp;TEXT(입력!F59,"0")&amp;"만 원 수준의 매출을 내고 있는 업체입니다."&amp;CHAR(10)&amp;CHAR(10)&amp;"이번에 "&amp;입력!D59&amp;" 쪽으로 판매 영역을 확장하려 하는데,"&amp;CHAR(10)&amp;"혹시 위탁 판매 형태로 협업이 가능하실까요?"&amp;CHAR(10)&amp;입력!C59&amp;"께서는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59" s="66" t="str">
        <f>IF(입력!C59="","","안녕하세요, "&amp;입력!C59&amp;"."&amp;CHAR(10)&amp;"저희는 "&amp;입력!E59&amp;"에서 다양한 제품을 판매하며"&amp;CHAR(10)&amp;"월 "&amp;TEXT(입력!F59,"0")&amp;"만 원 이상의 매출을 꾸준히 기록하고 있는 업체입니다."&amp;CHAR(10)&amp;CHAR(10)&amp;"최근 고객 데이터를 분석해 본 결과,"&amp;CHAR(10)&amp;입력!D59&amp;"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"&amp;입력!C59&amp;"께서는"&amp;CHAR(10)&amp;"추가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0" spans="1:3" ht="295.8" x14ac:dyDescent="0.4">
      <c r="A60" s="65">
        <v>59</v>
      </c>
      <c r="B60" s="66" t="str">
        <f>IF(입력!C60="","","안녕하세요, "&amp;입력!C60&amp;"."&amp;CHAR(10)&amp;"저희는 "&amp;입력!E60&amp;"에서 다양한 제품을 판매하며"&amp;CHAR(10)&amp;"월 약 "&amp;TEXT(입력!F60,"0")&amp;"만 원 수준의 매출을 내고 있는 업체입니다."&amp;CHAR(10)&amp;CHAR(10)&amp;"이번에 "&amp;입력!D60&amp;" 쪽으로 판매 영역을 확장하려 하는데,"&amp;CHAR(10)&amp;"혹시 위탁 판매 형태로 협업이 가능하실까요?"&amp;CHAR(10)&amp;입력!C60&amp;"께서는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0" s="66" t="str">
        <f>IF(입력!C60="","","안녕하세요, "&amp;입력!C60&amp;"."&amp;CHAR(10)&amp;"저희는 "&amp;입력!E60&amp;"에서 다양한 제품을 판매하며"&amp;CHAR(10)&amp;"월 "&amp;TEXT(입력!F60,"0")&amp;"만 원 이상의 매출을 꾸준히 기록하고 있는 업체입니다."&amp;CHAR(10)&amp;CHAR(10)&amp;"최근 고객 데이터를 분석해 본 결과,"&amp;CHAR(10)&amp;입력!D60&amp;"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"&amp;입력!C60&amp;"께서는"&amp;CHAR(10)&amp;"추가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1" spans="1:3" ht="295.8" x14ac:dyDescent="0.4">
      <c r="A61" s="65">
        <v>60</v>
      </c>
      <c r="B61" s="66" t="str">
        <f>IF(입력!C61="","","안녕하세요, "&amp;입력!C61&amp;"."&amp;CHAR(10)&amp;"저희는 "&amp;입력!E61&amp;"에서 다양한 제품을 판매하며"&amp;CHAR(10)&amp;"월 약 "&amp;TEXT(입력!F61,"0")&amp;"만 원 수준의 매출을 내고 있는 업체입니다."&amp;CHAR(10)&amp;CHAR(10)&amp;"이번에 "&amp;입력!D61&amp;" 쪽으로 판매 영역을 확장하려 하는데,"&amp;CHAR(10)&amp;"혹시 위탁 판매 형태로 협업이 가능하실까요?"&amp;CHAR(10)&amp;입력!C61&amp;"께서는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1" s="66" t="str">
        <f>IF(입력!C61="","","안녕하세요, "&amp;입력!C61&amp;"."&amp;CHAR(10)&amp;"저희는 "&amp;입력!E61&amp;"에서 다양한 제품을 판매하며"&amp;CHAR(10)&amp;"월 "&amp;TEXT(입력!F61,"0")&amp;"만 원 이상의 매출을 꾸준히 기록하고 있는 업체입니다."&amp;CHAR(10)&amp;CHAR(10)&amp;"최근 고객 데이터를 분석해 본 결과,"&amp;CHAR(10)&amp;입력!D61&amp;"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"&amp;입력!C61&amp;"께서는"&amp;CHAR(10)&amp;"추가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2" spans="1:3" ht="295.8" x14ac:dyDescent="0.4">
      <c r="A62" s="65">
        <v>61</v>
      </c>
      <c r="B62" s="66" t="str">
        <f>IF(입력!C62="","","안녕하세요, "&amp;입력!C62&amp;"."&amp;CHAR(10)&amp;"저희는 "&amp;입력!E62&amp;"에서 다양한 제품을 판매하며"&amp;CHAR(10)&amp;"월 약 "&amp;TEXT(입력!F62,"0")&amp;"만 원 수준의 매출을 내고 있는 업체입니다."&amp;CHAR(10)&amp;CHAR(10)&amp;"이번에 "&amp;입력!D62&amp;" 쪽으로 판매 영역을 확장하려 하는데,"&amp;CHAR(10)&amp;"혹시 위탁 판매 형태로 협업이 가능하실까요?"&amp;CHAR(10)&amp;입력!C62&amp;"께서는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2" s="66" t="str">
        <f>IF(입력!C62="","","안녕하세요, "&amp;입력!C62&amp;"."&amp;CHAR(10)&amp;"저희는 "&amp;입력!E62&amp;"에서 다양한 제품을 판매하며"&amp;CHAR(10)&amp;"월 "&amp;TEXT(입력!F62,"0")&amp;"만 원 이상의 매출을 꾸준히 기록하고 있는 업체입니다."&amp;CHAR(10)&amp;CHAR(10)&amp;"최근 고객 데이터를 분석해 본 결과,"&amp;CHAR(10)&amp;입력!D62&amp;"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"&amp;입력!C62&amp;"께서는"&amp;CHAR(10)&amp;"추가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3" spans="1:3" ht="295.8" x14ac:dyDescent="0.4">
      <c r="A63" s="65">
        <v>62</v>
      </c>
      <c r="B63" s="66" t="str">
        <f>IF(입력!C63="","","안녕하세요, "&amp;입력!C63&amp;"."&amp;CHAR(10)&amp;"저희는 "&amp;입력!E63&amp;"에서 다양한 제품을 판매하며"&amp;CHAR(10)&amp;"월 약 "&amp;TEXT(입력!F63,"0")&amp;"만 원 수준의 매출을 내고 있는 업체입니다."&amp;CHAR(10)&amp;CHAR(10)&amp;"이번에 "&amp;입력!D63&amp;" 쪽으로 판매 영역을 확장하려 하는데,"&amp;CHAR(10)&amp;"혹시 위탁 판매 형태로 협업이 가능하실까요?"&amp;CHAR(10)&amp;입력!C63&amp;"께서는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3" s="66" t="str">
        <f>IF(입력!C63="","","안녕하세요, "&amp;입력!C63&amp;"."&amp;CHAR(10)&amp;"저희는 "&amp;입력!E63&amp;"에서 다양한 제품을 판매하며"&amp;CHAR(10)&amp;"월 "&amp;TEXT(입력!F63,"0")&amp;"만 원 이상의 매출을 꾸준히 기록하고 있는 업체입니다."&amp;CHAR(10)&amp;CHAR(10)&amp;"최근 고객 데이터를 분석해 본 결과,"&amp;CHAR(10)&amp;입력!D63&amp;"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"&amp;입력!C63&amp;"께서는"&amp;CHAR(10)&amp;"추가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4" spans="1:3" ht="295.8" x14ac:dyDescent="0.4">
      <c r="A64" s="65">
        <v>63</v>
      </c>
      <c r="B64" s="66" t="str">
        <f>IF(입력!C64="","","안녕하세요, "&amp;입력!C64&amp;"."&amp;CHAR(10)&amp;"저희는 "&amp;입력!E64&amp;"에서 다양한 제품을 판매하며"&amp;CHAR(10)&amp;"월 약 "&amp;TEXT(입력!F64,"0")&amp;"만 원 수준의 매출을 내고 있는 업체입니다."&amp;CHAR(10)&amp;CHAR(10)&amp;"이번에 "&amp;입력!D64&amp;" 쪽으로 판매 영역을 확장하려 하는데,"&amp;CHAR(10)&amp;"혹시 위탁 판매 형태로 협업이 가능하실까요?"&amp;CHAR(10)&amp;입력!C64&amp;"께서는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4" s="66" t="str">
        <f>IF(입력!C64="","","안녕하세요, "&amp;입력!C64&amp;"."&amp;CHAR(10)&amp;"저희는 "&amp;입력!E64&amp;"에서 다양한 제품을 판매하며"&amp;CHAR(10)&amp;"월 "&amp;TEXT(입력!F64,"0")&amp;"만 원 이상의 매출을 꾸준히 기록하고 있는 업체입니다."&amp;CHAR(10)&amp;CHAR(10)&amp;"최근 고객 데이터를 분석해 본 결과,"&amp;CHAR(10)&amp;입력!D64&amp;"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"&amp;입력!C64&amp;"께서는"&amp;CHAR(10)&amp;"추가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5" spans="1:3" ht="295.8" x14ac:dyDescent="0.4">
      <c r="A65" s="65">
        <v>64</v>
      </c>
      <c r="B65" s="66" t="str">
        <f>IF(입력!C65="","","안녕하세요, "&amp;입력!C65&amp;"."&amp;CHAR(10)&amp;"저희는 "&amp;입력!E65&amp;"에서 다양한 제품을 판매하며"&amp;CHAR(10)&amp;"월 약 "&amp;TEXT(입력!F65,"0")&amp;"만 원 수준의 매출을 내고 있는 업체입니다."&amp;CHAR(10)&amp;CHAR(10)&amp;"이번에 "&amp;입력!D65&amp;" 쪽으로 판매 영역을 확장하려 하는데,"&amp;CHAR(10)&amp;"혹시 위탁 판매 형태로 협업이 가능하실까요?"&amp;CHAR(10)&amp;입력!C65&amp;"께서는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5" s="66" t="str">
        <f>IF(입력!C65="","","안녕하세요, "&amp;입력!C65&amp;"."&amp;CHAR(10)&amp;"저희는 "&amp;입력!E65&amp;"에서 다양한 제품을 판매하며"&amp;CHAR(10)&amp;"월 "&amp;TEXT(입력!F65,"0")&amp;"만 원 이상의 매출을 꾸준히 기록하고 있는 업체입니다."&amp;CHAR(10)&amp;CHAR(10)&amp;"최근 고객 데이터를 분석해 본 결과,"&amp;CHAR(10)&amp;입력!D65&amp;"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"&amp;입력!C65&amp;"께서는"&amp;CHAR(10)&amp;"추가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6" spans="1:3" ht="295.8" x14ac:dyDescent="0.4">
      <c r="A66" s="65">
        <v>65</v>
      </c>
      <c r="B66" s="66" t="str">
        <f>IF(입력!C66="","","안녕하세요, "&amp;입력!C66&amp;"."&amp;CHAR(10)&amp;"저희는 "&amp;입력!E66&amp;"에서 다양한 제품을 판매하며"&amp;CHAR(10)&amp;"월 약 "&amp;TEXT(입력!F66,"0")&amp;"만 원 수준의 매출을 내고 있는 업체입니다."&amp;CHAR(10)&amp;CHAR(10)&amp;"이번에 "&amp;입력!D66&amp;" 쪽으로 판매 영역을 확장하려 하는데,"&amp;CHAR(10)&amp;"혹시 위탁 판매 형태로 협업이 가능하실까요?"&amp;CHAR(10)&amp;입력!C66&amp;"께서는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6" s="66" t="str">
        <f>IF(입력!C66="","","안녕하세요, "&amp;입력!C66&amp;"."&amp;CHAR(10)&amp;"저희는 "&amp;입력!E66&amp;"에서 다양한 제품을 판매하며"&amp;CHAR(10)&amp;"월 "&amp;TEXT(입력!F66,"0")&amp;"만 원 이상의 매출을 꾸준히 기록하고 있는 업체입니다."&amp;CHAR(10)&amp;CHAR(10)&amp;"최근 고객 데이터를 분석해 본 결과,"&amp;CHAR(10)&amp;입력!D66&amp;"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"&amp;입력!C66&amp;"께서는"&amp;CHAR(10)&amp;"추가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7" spans="1:3" ht="295.8" x14ac:dyDescent="0.4">
      <c r="A67" s="65">
        <v>66</v>
      </c>
      <c r="B67" s="66" t="str">
        <f>IF(입력!C67="","","안녕하세요, "&amp;입력!C67&amp;"."&amp;CHAR(10)&amp;"저희는 "&amp;입력!E67&amp;"에서 다양한 제품을 판매하며"&amp;CHAR(10)&amp;"월 약 "&amp;TEXT(입력!F67,"0")&amp;"만 원 수준의 매출을 내고 있는 업체입니다."&amp;CHAR(10)&amp;CHAR(10)&amp;"이번에 "&amp;입력!D67&amp;" 쪽으로 판매 영역을 확장하려 하는데,"&amp;CHAR(10)&amp;"혹시 위탁 판매 형태로 협업이 가능하실까요?"&amp;CHAR(10)&amp;입력!C67&amp;"께서는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7" s="66" t="str">
        <f>IF(입력!C67="","","안녕하세요, "&amp;입력!C67&amp;"."&amp;CHAR(10)&amp;"저희는 "&amp;입력!E67&amp;"에서 다양한 제품을 판매하며"&amp;CHAR(10)&amp;"월 "&amp;TEXT(입력!F67,"0")&amp;"만 원 이상의 매출을 꾸준히 기록하고 있는 업체입니다."&amp;CHAR(10)&amp;CHAR(10)&amp;"최근 고객 데이터를 분석해 본 결과,"&amp;CHAR(10)&amp;입력!D67&amp;"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"&amp;입력!C67&amp;"께서는"&amp;CHAR(10)&amp;"추가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8" spans="1:3" ht="295.8" x14ac:dyDescent="0.4">
      <c r="A68" s="65">
        <v>67</v>
      </c>
      <c r="B68" s="66" t="str">
        <f>IF(입력!C68="","","안녕하세요, "&amp;입력!C68&amp;"."&amp;CHAR(10)&amp;"저희는 "&amp;입력!E68&amp;"에서 다양한 제품을 판매하며"&amp;CHAR(10)&amp;"월 약 "&amp;TEXT(입력!F68,"0")&amp;"만 원 수준의 매출을 내고 있는 업체입니다."&amp;CHAR(10)&amp;CHAR(10)&amp;"이번에 "&amp;입력!D68&amp;" 쪽으로 판매 영역을 확장하려 하는데,"&amp;CHAR(10)&amp;"혹시 위탁 판매 형태로 협업이 가능하실까요?"&amp;CHAR(10)&amp;입력!C68&amp;"께서는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8" s="66" t="str">
        <f>IF(입력!C68="","","안녕하세요, "&amp;입력!C68&amp;"."&amp;CHAR(10)&amp;"저희는 "&amp;입력!E68&amp;"에서 다양한 제품을 판매하며"&amp;CHAR(10)&amp;"월 "&amp;TEXT(입력!F68,"0")&amp;"만 원 이상의 매출을 꾸준히 기록하고 있는 업체입니다."&amp;CHAR(10)&amp;CHAR(10)&amp;"최근 고객 데이터를 분석해 본 결과,"&amp;CHAR(10)&amp;입력!D68&amp;"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"&amp;입력!C68&amp;"께서는"&amp;CHAR(10)&amp;"추가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69" spans="1:3" ht="295.8" x14ac:dyDescent="0.4">
      <c r="A69" s="65">
        <v>68</v>
      </c>
      <c r="B69" s="66" t="str">
        <f>IF(입력!C69="","","안녕하세요, "&amp;입력!C69&amp;"."&amp;CHAR(10)&amp;"저희는 "&amp;입력!E69&amp;"에서 다양한 제품을 판매하며"&amp;CHAR(10)&amp;"월 약 "&amp;TEXT(입력!F69,"0")&amp;"만 원 수준의 매출을 내고 있는 업체입니다."&amp;CHAR(10)&amp;CHAR(10)&amp;"이번에 "&amp;입력!D69&amp;" 쪽으로 판매 영역을 확장하려 하는데,"&amp;CHAR(10)&amp;"혹시 위탁 판매 형태로 협업이 가능하실까요?"&amp;CHAR(10)&amp;입력!C69&amp;"께서는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69" s="66" t="str">
        <f>IF(입력!C69="","","안녕하세요, "&amp;입력!C69&amp;"."&amp;CHAR(10)&amp;"저희는 "&amp;입력!E69&amp;"에서 다양한 제품을 판매하며"&amp;CHAR(10)&amp;"월 "&amp;TEXT(입력!F69,"0")&amp;"만 원 이상의 매출을 꾸준히 기록하고 있는 업체입니다."&amp;CHAR(10)&amp;CHAR(10)&amp;"최근 고객 데이터를 분석해 본 결과,"&amp;CHAR(10)&amp;입력!D69&amp;"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"&amp;입력!C69&amp;"께서는"&amp;CHAR(10)&amp;"추가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0" spans="1:3" ht="295.8" x14ac:dyDescent="0.4">
      <c r="A70" s="65">
        <v>69</v>
      </c>
      <c r="B70" s="66" t="str">
        <f>IF(입력!C70="","","안녕하세요, "&amp;입력!C70&amp;"."&amp;CHAR(10)&amp;"저희는 "&amp;입력!E70&amp;"에서 다양한 제품을 판매하며"&amp;CHAR(10)&amp;"월 약 "&amp;TEXT(입력!F70,"0")&amp;"만 원 수준의 매출을 내고 있는 업체입니다."&amp;CHAR(10)&amp;CHAR(10)&amp;"이번에 "&amp;입력!D70&amp;" 쪽으로 판매 영역을 확장하려 하는데,"&amp;CHAR(10)&amp;"혹시 위탁 판매 형태로 협업이 가능하실까요?"&amp;CHAR(10)&amp;입력!C70&amp;"께서는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0" s="66" t="str">
        <f>IF(입력!C70="","","안녕하세요, "&amp;입력!C70&amp;"."&amp;CHAR(10)&amp;"저희는 "&amp;입력!E70&amp;"에서 다양한 제품을 판매하며"&amp;CHAR(10)&amp;"월 "&amp;TEXT(입력!F70,"0")&amp;"만 원 이상의 매출을 꾸준히 기록하고 있는 업체입니다."&amp;CHAR(10)&amp;CHAR(10)&amp;"최근 고객 데이터를 분석해 본 결과,"&amp;CHAR(10)&amp;입력!D70&amp;"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"&amp;입력!C70&amp;"께서는"&amp;CHAR(10)&amp;"추가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1" spans="1:3" ht="295.8" x14ac:dyDescent="0.4">
      <c r="A71" s="65">
        <v>70</v>
      </c>
      <c r="B71" s="66" t="str">
        <f>IF(입력!C71="","","안녕하세요, "&amp;입력!C71&amp;"."&amp;CHAR(10)&amp;"저희는 "&amp;입력!E71&amp;"에서 다양한 제품을 판매하며"&amp;CHAR(10)&amp;"월 약 "&amp;TEXT(입력!F71,"0")&amp;"만 원 수준의 매출을 내고 있는 업체입니다."&amp;CHAR(10)&amp;CHAR(10)&amp;"이번에 "&amp;입력!D71&amp;" 쪽으로 판매 영역을 확장하려 하는데,"&amp;CHAR(10)&amp;"혹시 위탁 판매 형태로 협업이 가능하실까요?"&amp;CHAR(10)&amp;입력!C71&amp;"께서는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1" s="66" t="str">
        <f>IF(입력!C71="","","안녕하세요, "&amp;입력!C71&amp;"."&amp;CHAR(10)&amp;"저희는 "&amp;입력!E71&amp;"에서 다양한 제품을 판매하며"&amp;CHAR(10)&amp;"월 "&amp;TEXT(입력!F71,"0")&amp;"만 원 이상의 매출을 꾸준히 기록하고 있는 업체입니다."&amp;CHAR(10)&amp;CHAR(10)&amp;"최근 고객 데이터를 분석해 본 결과,"&amp;CHAR(10)&amp;입력!D71&amp;"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"&amp;입력!C71&amp;"께서는"&amp;CHAR(10)&amp;"추가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2" spans="1:3" ht="295.8" x14ac:dyDescent="0.4">
      <c r="A72" s="65">
        <v>71</v>
      </c>
      <c r="B72" s="66" t="str">
        <f>IF(입력!C72="","","안녕하세요, "&amp;입력!C72&amp;"."&amp;CHAR(10)&amp;"저희는 "&amp;입력!E72&amp;"에서 다양한 제품을 판매하며"&amp;CHAR(10)&amp;"월 약 "&amp;TEXT(입력!F72,"0")&amp;"만 원 수준의 매출을 내고 있는 업체입니다."&amp;CHAR(10)&amp;CHAR(10)&amp;"이번에 "&amp;입력!D72&amp;" 쪽으로 판매 영역을 확장하려 하는데,"&amp;CHAR(10)&amp;"혹시 위탁 판매 형태로 협업이 가능하실까요?"&amp;CHAR(10)&amp;입력!C72&amp;"께서는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2" s="66" t="str">
        <f>IF(입력!C72="","","안녕하세요, "&amp;입력!C72&amp;"."&amp;CHAR(10)&amp;"저희는 "&amp;입력!E72&amp;"에서 다양한 제품을 판매하며"&amp;CHAR(10)&amp;"월 "&amp;TEXT(입력!F72,"0")&amp;"만 원 이상의 매출을 꾸준히 기록하고 있는 업체입니다."&amp;CHAR(10)&amp;CHAR(10)&amp;"최근 고객 데이터를 분석해 본 결과,"&amp;CHAR(10)&amp;입력!D72&amp;"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"&amp;입력!C72&amp;"께서는"&amp;CHAR(10)&amp;"추가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3" spans="1:3" ht="295.8" x14ac:dyDescent="0.4">
      <c r="A73" s="65">
        <v>72</v>
      </c>
      <c r="B73" s="66" t="str">
        <f>IF(입력!C73="","","안녕하세요, "&amp;입력!C73&amp;"."&amp;CHAR(10)&amp;"저희는 "&amp;입력!E73&amp;"에서 다양한 제품을 판매하며"&amp;CHAR(10)&amp;"월 약 "&amp;TEXT(입력!F73,"0")&amp;"만 원 수준의 매출을 내고 있는 업체입니다."&amp;CHAR(10)&amp;CHAR(10)&amp;"이번에 "&amp;입력!D73&amp;" 쪽으로 판매 영역을 확장하려 하는데,"&amp;CHAR(10)&amp;"혹시 위탁 판매 형태로 협업이 가능하실까요?"&amp;CHAR(10)&amp;입력!C73&amp;"께서는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3" s="66" t="str">
        <f>IF(입력!C73="","","안녕하세요, "&amp;입력!C73&amp;"."&amp;CHAR(10)&amp;"저희는 "&amp;입력!E73&amp;"에서 다양한 제품을 판매하며"&amp;CHAR(10)&amp;"월 "&amp;TEXT(입력!F73,"0")&amp;"만 원 이상의 매출을 꾸준히 기록하고 있는 업체입니다."&amp;CHAR(10)&amp;CHAR(10)&amp;"최근 고객 데이터를 분석해 본 결과,"&amp;CHAR(10)&amp;입력!D73&amp;"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"&amp;입력!C73&amp;"께서는"&amp;CHAR(10)&amp;"추가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4" spans="1:3" ht="295.8" x14ac:dyDescent="0.4">
      <c r="A74" s="65">
        <v>73</v>
      </c>
      <c r="B74" s="66" t="str">
        <f>IF(입력!C74="","","안녕하세요, "&amp;입력!C74&amp;"."&amp;CHAR(10)&amp;"저희는 "&amp;입력!E74&amp;"에서 다양한 제품을 판매하며"&amp;CHAR(10)&amp;"월 약 "&amp;TEXT(입력!F74,"0")&amp;"만 원 수준의 매출을 내고 있는 업체입니다."&amp;CHAR(10)&amp;CHAR(10)&amp;"이번에 "&amp;입력!D74&amp;" 쪽으로 판매 영역을 확장하려 하는데,"&amp;CHAR(10)&amp;"혹시 위탁 판매 형태로 협업이 가능하실까요?"&amp;CHAR(10)&amp;입력!C74&amp;"께서는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4" s="66" t="str">
        <f>IF(입력!C74="","","안녕하세요, "&amp;입력!C74&amp;"."&amp;CHAR(10)&amp;"저희는 "&amp;입력!E74&amp;"에서 다양한 제품을 판매하며"&amp;CHAR(10)&amp;"월 "&amp;TEXT(입력!F74,"0")&amp;"만 원 이상의 매출을 꾸준히 기록하고 있는 업체입니다."&amp;CHAR(10)&amp;CHAR(10)&amp;"최근 고객 데이터를 분석해 본 결과,"&amp;CHAR(10)&amp;입력!D74&amp;"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"&amp;입력!C74&amp;"께서는"&amp;CHAR(10)&amp;"추가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5" spans="1:3" ht="295.8" x14ac:dyDescent="0.4">
      <c r="A75" s="65">
        <v>74</v>
      </c>
      <c r="B75" s="66" t="str">
        <f>IF(입력!C75="","","안녕하세요, "&amp;입력!C75&amp;"."&amp;CHAR(10)&amp;"저희는 "&amp;입력!E75&amp;"에서 다양한 제품을 판매하며"&amp;CHAR(10)&amp;"월 약 "&amp;TEXT(입력!F75,"0")&amp;"만 원 수준의 매출을 내고 있는 업체입니다."&amp;CHAR(10)&amp;CHAR(10)&amp;"이번에 "&amp;입력!D75&amp;" 쪽으로 판매 영역을 확장하려 하는데,"&amp;CHAR(10)&amp;"혹시 위탁 판매 형태로 협업이 가능하실까요?"&amp;CHAR(10)&amp;입력!C75&amp;"께서는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5" s="66" t="str">
        <f>IF(입력!C75="","","안녕하세요, "&amp;입력!C75&amp;"."&amp;CHAR(10)&amp;"저희는 "&amp;입력!E75&amp;"에서 다양한 제품을 판매하며"&amp;CHAR(10)&amp;"월 "&amp;TEXT(입력!F75,"0")&amp;"만 원 이상의 매출을 꾸준히 기록하고 있는 업체입니다."&amp;CHAR(10)&amp;CHAR(10)&amp;"최근 고객 데이터를 분석해 본 결과,"&amp;CHAR(10)&amp;입력!D75&amp;"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"&amp;입력!C75&amp;"께서는"&amp;CHAR(10)&amp;"추가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6" spans="1:3" ht="295.8" x14ac:dyDescent="0.4">
      <c r="A76" s="65">
        <v>75</v>
      </c>
      <c r="B76" s="66" t="str">
        <f>IF(입력!C76="","","안녕하세요, "&amp;입력!C76&amp;"."&amp;CHAR(10)&amp;"저희는 "&amp;입력!E76&amp;"에서 다양한 제품을 판매하며"&amp;CHAR(10)&amp;"월 약 "&amp;TEXT(입력!F76,"0")&amp;"만 원 수준의 매출을 내고 있는 업체입니다."&amp;CHAR(10)&amp;CHAR(10)&amp;"이번에 "&amp;입력!D76&amp;" 쪽으로 판매 영역을 확장하려 하는데,"&amp;CHAR(10)&amp;"혹시 위탁 판매 형태로 협업이 가능하실까요?"&amp;CHAR(10)&amp;입력!C76&amp;"께서는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6" s="66" t="str">
        <f>IF(입력!C76="","","안녕하세요, "&amp;입력!C76&amp;"."&amp;CHAR(10)&amp;"저희는 "&amp;입력!E76&amp;"에서 다양한 제품을 판매하며"&amp;CHAR(10)&amp;"월 "&amp;TEXT(입력!F76,"0")&amp;"만 원 이상의 매출을 꾸준히 기록하고 있는 업체입니다."&amp;CHAR(10)&amp;CHAR(10)&amp;"최근 고객 데이터를 분석해 본 결과,"&amp;CHAR(10)&amp;입력!D76&amp;"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"&amp;입력!C76&amp;"께서는"&amp;CHAR(10)&amp;"추가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7" spans="1:3" ht="295.8" x14ac:dyDescent="0.4">
      <c r="A77" s="65">
        <v>76</v>
      </c>
      <c r="B77" s="66" t="str">
        <f>IF(입력!C77="","","안녕하세요, "&amp;입력!C77&amp;"."&amp;CHAR(10)&amp;"저희는 "&amp;입력!E77&amp;"에서 다양한 제품을 판매하며"&amp;CHAR(10)&amp;"월 약 "&amp;TEXT(입력!F77,"0")&amp;"만 원 수준의 매출을 내고 있는 업체입니다."&amp;CHAR(10)&amp;CHAR(10)&amp;"이번에 "&amp;입력!D77&amp;" 쪽으로 판매 영역을 확장하려 하는데,"&amp;CHAR(10)&amp;"혹시 위탁 판매 형태로 협업이 가능하실까요?"&amp;CHAR(10)&amp;입력!C77&amp;"께서는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7" s="66" t="str">
        <f>IF(입력!C77="","","안녕하세요, "&amp;입력!C77&amp;"."&amp;CHAR(10)&amp;"저희는 "&amp;입력!E77&amp;"에서 다양한 제품을 판매하며"&amp;CHAR(10)&amp;"월 "&amp;TEXT(입력!F77,"0")&amp;"만 원 이상의 매출을 꾸준히 기록하고 있는 업체입니다."&amp;CHAR(10)&amp;CHAR(10)&amp;"최근 고객 데이터를 분석해 본 결과,"&amp;CHAR(10)&amp;입력!D77&amp;"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"&amp;입력!C77&amp;"께서는"&amp;CHAR(10)&amp;"추가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8" spans="1:3" ht="295.8" x14ac:dyDescent="0.4">
      <c r="A78" s="65">
        <v>77</v>
      </c>
      <c r="B78" s="66" t="str">
        <f>IF(입력!C78="","","안녕하세요, "&amp;입력!C78&amp;"."&amp;CHAR(10)&amp;"저희는 "&amp;입력!E78&amp;"에서 다양한 제품을 판매하며"&amp;CHAR(10)&amp;"월 약 "&amp;TEXT(입력!F78,"0")&amp;"만 원 수준의 매출을 내고 있는 업체입니다."&amp;CHAR(10)&amp;CHAR(10)&amp;"이번에 "&amp;입력!D78&amp;" 쪽으로 판매 영역을 확장하려 하는데,"&amp;CHAR(10)&amp;"혹시 위탁 판매 형태로 협업이 가능하실까요?"&amp;CHAR(10)&amp;입력!C78&amp;"께서는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8" s="66" t="str">
        <f>IF(입력!C78="","","안녕하세요, "&amp;입력!C78&amp;"."&amp;CHAR(10)&amp;"저희는 "&amp;입력!E78&amp;"에서 다양한 제품을 판매하며"&amp;CHAR(10)&amp;"월 "&amp;TEXT(입력!F78,"0")&amp;"만 원 이상의 매출을 꾸준히 기록하고 있는 업체입니다."&amp;CHAR(10)&amp;CHAR(10)&amp;"최근 고객 데이터를 분석해 본 결과,"&amp;CHAR(10)&amp;입력!D78&amp;"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"&amp;입력!C78&amp;"께서는"&amp;CHAR(10)&amp;"추가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79" spans="1:3" ht="295.8" x14ac:dyDescent="0.4">
      <c r="A79" s="65">
        <v>78</v>
      </c>
      <c r="B79" s="66" t="str">
        <f>IF(입력!C79="","","안녕하세요, "&amp;입력!C79&amp;"."&amp;CHAR(10)&amp;"저희는 "&amp;입력!E79&amp;"에서 다양한 제품을 판매하며"&amp;CHAR(10)&amp;"월 약 "&amp;TEXT(입력!F79,"0")&amp;"만 원 수준의 매출을 내고 있는 업체입니다."&amp;CHAR(10)&amp;CHAR(10)&amp;"이번에 "&amp;입력!D79&amp;" 쪽으로 판매 영역을 확장하려 하는데,"&amp;CHAR(10)&amp;"혹시 위탁 판매 형태로 협업이 가능하실까요?"&amp;CHAR(10)&amp;입력!C79&amp;"께서는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79" s="66" t="str">
        <f>IF(입력!C79="","","안녕하세요, "&amp;입력!C79&amp;"."&amp;CHAR(10)&amp;"저희는 "&amp;입력!E79&amp;"에서 다양한 제품을 판매하며"&amp;CHAR(10)&amp;"월 "&amp;TEXT(입력!F79,"0")&amp;"만 원 이상의 매출을 꾸준히 기록하고 있는 업체입니다."&amp;CHAR(10)&amp;CHAR(10)&amp;"최근 고객 데이터를 분석해 본 결과,"&amp;CHAR(10)&amp;입력!D79&amp;"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"&amp;입력!C79&amp;"께서는"&amp;CHAR(10)&amp;"추가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0" spans="1:3" ht="295.8" x14ac:dyDescent="0.4">
      <c r="A80" s="65">
        <v>79</v>
      </c>
      <c r="B80" s="66" t="str">
        <f>IF(입력!C80="","","안녕하세요, "&amp;입력!C80&amp;"."&amp;CHAR(10)&amp;"저희는 "&amp;입력!E80&amp;"에서 다양한 제품을 판매하며"&amp;CHAR(10)&amp;"월 약 "&amp;TEXT(입력!F80,"0")&amp;"만 원 수준의 매출을 내고 있는 업체입니다."&amp;CHAR(10)&amp;CHAR(10)&amp;"이번에 "&amp;입력!D80&amp;" 쪽으로 판매 영역을 확장하려 하는데,"&amp;CHAR(10)&amp;"혹시 위탁 판매 형태로 협업이 가능하실까요?"&amp;CHAR(10)&amp;입력!C80&amp;"께서는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0" s="66" t="str">
        <f>IF(입력!C80="","","안녕하세요, "&amp;입력!C80&amp;"."&amp;CHAR(10)&amp;"저희는 "&amp;입력!E80&amp;"에서 다양한 제품을 판매하며"&amp;CHAR(10)&amp;"월 "&amp;TEXT(입력!F80,"0")&amp;"만 원 이상의 매출을 꾸준히 기록하고 있는 업체입니다."&amp;CHAR(10)&amp;CHAR(10)&amp;"최근 고객 데이터를 분석해 본 결과,"&amp;CHAR(10)&amp;입력!D80&amp;"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"&amp;입력!C80&amp;"께서는"&amp;CHAR(10)&amp;"추가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1" spans="1:3" ht="295.8" x14ac:dyDescent="0.4">
      <c r="A81" s="65">
        <v>80</v>
      </c>
      <c r="B81" s="66" t="str">
        <f>IF(입력!C81="","","안녕하세요, "&amp;입력!C81&amp;"."&amp;CHAR(10)&amp;"저희는 "&amp;입력!E81&amp;"에서 다양한 제품을 판매하며"&amp;CHAR(10)&amp;"월 약 "&amp;TEXT(입력!F81,"0")&amp;"만 원 수준의 매출을 내고 있는 업체입니다."&amp;CHAR(10)&amp;CHAR(10)&amp;"이번에 "&amp;입력!D81&amp;" 쪽으로 판매 영역을 확장하려 하는데,"&amp;CHAR(10)&amp;"혹시 위탁 판매 형태로 협업이 가능하실까요?"&amp;CHAR(10)&amp;입력!C81&amp;"께서는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1" s="66" t="str">
        <f>IF(입력!C81="","","안녕하세요, "&amp;입력!C81&amp;"."&amp;CHAR(10)&amp;"저희는 "&amp;입력!E81&amp;"에서 다양한 제품을 판매하며"&amp;CHAR(10)&amp;"월 "&amp;TEXT(입력!F81,"0")&amp;"만 원 이상의 매출을 꾸준히 기록하고 있는 업체입니다."&amp;CHAR(10)&amp;CHAR(10)&amp;"최근 고객 데이터를 분석해 본 결과,"&amp;CHAR(10)&amp;입력!D81&amp;"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"&amp;입력!C81&amp;"께서는"&amp;CHAR(10)&amp;"추가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2" spans="1:3" ht="295.8" x14ac:dyDescent="0.4">
      <c r="A82" s="65">
        <v>81</v>
      </c>
      <c r="B82" s="66" t="str">
        <f>IF(입력!C82="","","안녕하세요, "&amp;입력!C82&amp;"."&amp;CHAR(10)&amp;"저희는 "&amp;입력!E82&amp;"에서 다양한 제품을 판매하며"&amp;CHAR(10)&amp;"월 약 "&amp;TEXT(입력!F82,"0")&amp;"만 원 수준의 매출을 내고 있는 업체입니다."&amp;CHAR(10)&amp;CHAR(10)&amp;"이번에 "&amp;입력!D82&amp;" 쪽으로 판매 영역을 확장하려 하는데,"&amp;CHAR(10)&amp;"혹시 위탁 판매 형태로 협업이 가능하실까요?"&amp;CHAR(10)&amp;입력!C82&amp;"께서는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2" s="66" t="str">
        <f>IF(입력!C82="","","안녕하세요, "&amp;입력!C82&amp;"."&amp;CHAR(10)&amp;"저희는 "&amp;입력!E82&amp;"에서 다양한 제품을 판매하며"&amp;CHAR(10)&amp;"월 "&amp;TEXT(입력!F82,"0")&amp;"만 원 이상의 매출을 꾸준히 기록하고 있는 업체입니다."&amp;CHAR(10)&amp;CHAR(10)&amp;"최근 고객 데이터를 분석해 본 결과,"&amp;CHAR(10)&amp;입력!D82&amp;"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"&amp;입력!C82&amp;"께서는"&amp;CHAR(10)&amp;"추가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3" spans="1:3" ht="295.8" x14ac:dyDescent="0.4">
      <c r="A83" s="65">
        <v>82</v>
      </c>
      <c r="B83" s="66" t="str">
        <f>IF(입력!C83="","","안녕하세요, "&amp;입력!C83&amp;"."&amp;CHAR(10)&amp;"저희는 "&amp;입력!E83&amp;"에서 다양한 제품을 판매하며"&amp;CHAR(10)&amp;"월 약 "&amp;TEXT(입력!F83,"0")&amp;"만 원 수준의 매출을 내고 있는 업체입니다."&amp;CHAR(10)&amp;CHAR(10)&amp;"이번에 "&amp;입력!D83&amp;" 쪽으로 판매 영역을 확장하려 하는데,"&amp;CHAR(10)&amp;"혹시 위탁 판매 형태로 협업이 가능하실까요?"&amp;CHAR(10)&amp;입력!C83&amp;"께서는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3" s="66" t="str">
        <f>IF(입력!C83="","","안녕하세요, "&amp;입력!C83&amp;"."&amp;CHAR(10)&amp;"저희는 "&amp;입력!E83&amp;"에서 다양한 제품을 판매하며"&amp;CHAR(10)&amp;"월 "&amp;TEXT(입력!F83,"0")&amp;"만 원 이상의 매출을 꾸준히 기록하고 있는 업체입니다."&amp;CHAR(10)&amp;CHAR(10)&amp;"최근 고객 데이터를 분석해 본 결과,"&amp;CHAR(10)&amp;입력!D83&amp;"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"&amp;입력!C83&amp;"께서는"&amp;CHAR(10)&amp;"추가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4" spans="1:3" ht="295.8" x14ac:dyDescent="0.4">
      <c r="A84" s="65">
        <v>83</v>
      </c>
      <c r="B84" s="66" t="str">
        <f>IF(입력!C84="","","안녕하세요, "&amp;입력!C84&amp;"."&amp;CHAR(10)&amp;"저희는 "&amp;입력!E84&amp;"에서 다양한 제품을 판매하며"&amp;CHAR(10)&amp;"월 약 "&amp;TEXT(입력!F84,"0")&amp;"만 원 수준의 매출을 내고 있는 업체입니다."&amp;CHAR(10)&amp;CHAR(10)&amp;"이번에 "&amp;입력!D84&amp;" 쪽으로 판매 영역을 확장하려 하는데,"&amp;CHAR(10)&amp;"혹시 위탁 판매 형태로 협업이 가능하실까요?"&amp;CHAR(10)&amp;입력!C84&amp;"께서는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4" s="66" t="str">
        <f>IF(입력!C84="","","안녕하세요, "&amp;입력!C84&amp;"."&amp;CHAR(10)&amp;"저희는 "&amp;입력!E84&amp;"에서 다양한 제품을 판매하며"&amp;CHAR(10)&amp;"월 "&amp;TEXT(입력!F84,"0")&amp;"만 원 이상의 매출을 꾸준히 기록하고 있는 업체입니다."&amp;CHAR(10)&amp;CHAR(10)&amp;"최근 고객 데이터를 분석해 본 결과,"&amp;CHAR(10)&amp;입력!D84&amp;"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"&amp;입력!C84&amp;"께서는"&amp;CHAR(10)&amp;"추가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5" spans="1:3" ht="295.8" x14ac:dyDescent="0.4">
      <c r="A85" s="65">
        <v>84</v>
      </c>
      <c r="B85" s="66" t="str">
        <f>IF(입력!C85="","","안녕하세요, "&amp;입력!C85&amp;"."&amp;CHAR(10)&amp;"저희는 "&amp;입력!E85&amp;"에서 다양한 제품을 판매하며"&amp;CHAR(10)&amp;"월 약 "&amp;TEXT(입력!F85,"0")&amp;"만 원 수준의 매출을 내고 있는 업체입니다."&amp;CHAR(10)&amp;CHAR(10)&amp;"이번에 "&amp;입력!D85&amp;" 쪽으로 판매 영역을 확장하려 하는데,"&amp;CHAR(10)&amp;"혹시 위탁 판매 형태로 협업이 가능하실까요?"&amp;CHAR(10)&amp;입력!C85&amp;"께서는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5" s="66" t="str">
        <f>IF(입력!C85="","","안녕하세요, "&amp;입력!C85&amp;"."&amp;CHAR(10)&amp;"저희는 "&amp;입력!E85&amp;"에서 다양한 제품을 판매하며"&amp;CHAR(10)&amp;"월 "&amp;TEXT(입력!F85,"0")&amp;"만 원 이상의 매출을 꾸준히 기록하고 있는 업체입니다."&amp;CHAR(10)&amp;CHAR(10)&amp;"최근 고객 데이터를 분석해 본 결과,"&amp;CHAR(10)&amp;입력!D85&amp;"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"&amp;입력!C85&amp;"께서는"&amp;CHAR(10)&amp;"추가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6" spans="1:3" ht="295.8" x14ac:dyDescent="0.4">
      <c r="A86" s="65">
        <v>85</v>
      </c>
      <c r="B86" s="66" t="str">
        <f>IF(입력!C86="","","안녕하세요, "&amp;입력!C86&amp;"."&amp;CHAR(10)&amp;"저희는 "&amp;입력!E86&amp;"에서 다양한 제품을 판매하며"&amp;CHAR(10)&amp;"월 약 "&amp;TEXT(입력!F86,"0")&amp;"만 원 수준의 매출을 내고 있는 업체입니다."&amp;CHAR(10)&amp;CHAR(10)&amp;"이번에 "&amp;입력!D86&amp;" 쪽으로 판매 영역을 확장하려 하는데,"&amp;CHAR(10)&amp;"혹시 위탁 판매 형태로 협업이 가능하실까요?"&amp;CHAR(10)&amp;입력!C86&amp;"께서는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6" s="66" t="str">
        <f>IF(입력!C86="","","안녕하세요, "&amp;입력!C86&amp;"."&amp;CHAR(10)&amp;"저희는 "&amp;입력!E86&amp;"에서 다양한 제품을 판매하며"&amp;CHAR(10)&amp;"월 "&amp;TEXT(입력!F86,"0")&amp;"만 원 이상의 매출을 꾸준히 기록하고 있는 업체입니다."&amp;CHAR(10)&amp;CHAR(10)&amp;"최근 고객 데이터를 분석해 본 결과,"&amp;CHAR(10)&amp;입력!D86&amp;"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"&amp;입력!C86&amp;"께서는"&amp;CHAR(10)&amp;"추가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7" spans="1:3" ht="295.8" x14ac:dyDescent="0.4">
      <c r="A87" s="65">
        <v>86</v>
      </c>
      <c r="B87" s="66" t="str">
        <f>IF(입력!C87="","","안녕하세요, "&amp;입력!C87&amp;"."&amp;CHAR(10)&amp;"저희는 "&amp;입력!E87&amp;"에서 다양한 제품을 판매하며"&amp;CHAR(10)&amp;"월 약 "&amp;TEXT(입력!F87,"0")&amp;"만 원 수준의 매출을 내고 있는 업체입니다."&amp;CHAR(10)&amp;CHAR(10)&amp;"이번에 "&amp;입력!D87&amp;" 쪽으로 판매 영역을 확장하려 하는데,"&amp;CHAR(10)&amp;"혹시 위탁 판매 형태로 협업이 가능하실까요?"&amp;CHAR(10)&amp;입력!C87&amp;"께서는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7" s="66" t="str">
        <f>IF(입력!C87="","","안녕하세요, "&amp;입력!C87&amp;"."&amp;CHAR(10)&amp;"저희는 "&amp;입력!E87&amp;"에서 다양한 제품을 판매하며"&amp;CHAR(10)&amp;"월 "&amp;TEXT(입력!F87,"0")&amp;"만 원 이상의 매출을 꾸준히 기록하고 있는 업체입니다."&amp;CHAR(10)&amp;CHAR(10)&amp;"최근 고객 데이터를 분석해 본 결과,"&amp;CHAR(10)&amp;입력!D87&amp;"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"&amp;입력!C87&amp;"께서는"&amp;CHAR(10)&amp;"추가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8" spans="1:3" ht="295.8" x14ac:dyDescent="0.4">
      <c r="A88" s="65">
        <v>87</v>
      </c>
      <c r="B88" s="66" t="str">
        <f>IF(입력!C88="","","안녕하세요, "&amp;입력!C88&amp;"."&amp;CHAR(10)&amp;"저희는 "&amp;입력!E88&amp;"에서 다양한 제품을 판매하며"&amp;CHAR(10)&amp;"월 약 "&amp;TEXT(입력!F88,"0")&amp;"만 원 수준의 매출을 내고 있는 업체입니다."&amp;CHAR(10)&amp;CHAR(10)&amp;"이번에 "&amp;입력!D88&amp;" 쪽으로 판매 영역을 확장하려 하는데,"&amp;CHAR(10)&amp;"혹시 위탁 판매 형태로 협업이 가능하실까요?"&amp;CHAR(10)&amp;입력!C88&amp;"께서는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8" s="66" t="str">
        <f>IF(입력!C88="","","안녕하세요, "&amp;입력!C88&amp;"."&amp;CHAR(10)&amp;"저희는 "&amp;입력!E88&amp;"에서 다양한 제품을 판매하며"&amp;CHAR(10)&amp;"월 "&amp;TEXT(입력!F88,"0")&amp;"만 원 이상의 매출을 꾸준히 기록하고 있는 업체입니다."&amp;CHAR(10)&amp;CHAR(10)&amp;"최근 고객 데이터를 분석해 본 결과,"&amp;CHAR(10)&amp;입력!D88&amp;"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"&amp;입력!C88&amp;"께서는"&amp;CHAR(10)&amp;"추가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89" spans="1:3" ht="295.8" x14ac:dyDescent="0.4">
      <c r="A89" s="65">
        <v>88</v>
      </c>
      <c r="B89" s="66" t="str">
        <f>IF(입력!C89="","","안녕하세요, "&amp;입력!C89&amp;"."&amp;CHAR(10)&amp;"저희는 "&amp;입력!E89&amp;"에서 다양한 제품을 판매하며"&amp;CHAR(10)&amp;"월 약 "&amp;TEXT(입력!F89,"0")&amp;"만 원 수준의 매출을 내고 있는 업체입니다."&amp;CHAR(10)&amp;CHAR(10)&amp;"이번에 "&amp;입력!D89&amp;" 쪽으로 판매 영역을 확장하려 하는데,"&amp;CHAR(10)&amp;"혹시 위탁 판매 형태로 협업이 가능하실까요?"&amp;CHAR(10)&amp;입력!C89&amp;"께서는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89" s="66" t="str">
        <f>IF(입력!C89="","","안녕하세요, "&amp;입력!C89&amp;"."&amp;CHAR(10)&amp;"저희는 "&amp;입력!E89&amp;"에서 다양한 제품을 판매하며"&amp;CHAR(10)&amp;"월 "&amp;TEXT(입력!F89,"0")&amp;"만 원 이상의 매출을 꾸준히 기록하고 있는 업체입니다."&amp;CHAR(10)&amp;CHAR(10)&amp;"최근 고객 데이터를 분석해 본 결과,"&amp;CHAR(10)&amp;입력!D89&amp;"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"&amp;입력!C89&amp;"께서는"&amp;CHAR(10)&amp;"추가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0" spans="1:3" ht="295.8" x14ac:dyDescent="0.4">
      <c r="A90" s="65">
        <v>89</v>
      </c>
      <c r="B90" s="66" t="str">
        <f>IF(입력!C90="","","안녕하세요, "&amp;입력!C90&amp;"."&amp;CHAR(10)&amp;"저희는 "&amp;입력!E90&amp;"에서 다양한 제품을 판매하며"&amp;CHAR(10)&amp;"월 약 "&amp;TEXT(입력!F90,"0")&amp;"만 원 수준의 매출을 내고 있는 업체입니다."&amp;CHAR(10)&amp;CHAR(10)&amp;"이번에 "&amp;입력!D90&amp;" 쪽으로 판매 영역을 확장하려 하는데,"&amp;CHAR(10)&amp;"혹시 위탁 판매 형태로 협업이 가능하실까요?"&amp;CHAR(10)&amp;입력!C90&amp;"께서는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0" s="66" t="str">
        <f>IF(입력!C90="","","안녕하세요, "&amp;입력!C90&amp;"."&amp;CHAR(10)&amp;"저희는 "&amp;입력!E90&amp;"에서 다양한 제품을 판매하며"&amp;CHAR(10)&amp;"월 "&amp;TEXT(입력!F90,"0")&amp;"만 원 이상의 매출을 꾸준히 기록하고 있는 업체입니다."&amp;CHAR(10)&amp;CHAR(10)&amp;"최근 고객 데이터를 분석해 본 결과,"&amp;CHAR(10)&amp;입력!D90&amp;"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"&amp;입력!C90&amp;"께서는"&amp;CHAR(10)&amp;"추가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1" spans="1:3" ht="295.8" x14ac:dyDescent="0.4">
      <c r="A91" s="65">
        <v>90</v>
      </c>
      <c r="B91" s="66" t="str">
        <f>IF(입력!C91="","","안녕하세요, "&amp;입력!C91&amp;"."&amp;CHAR(10)&amp;"저희는 "&amp;입력!E91&amp;"에서 다양한 제품을 판매하며"&amp;CHAR(10)&amp;"월 약 "&amp;TEXT(입력!F91,"0")&amp;"만 원 수준의 매출을 내고 있는 업체입니다."&amp;CHAR(10)&amp;CHAR(10)&amp;"이번에 "&amp;입력!D91&amp;" 쪽으로 판매 영역을 확장하려 하는데,"&amp;CHAR(10)&amp;"혹시 위탁 판매 형태로 협업이 가능하실까요?"&amp;CHAR(10)&amp;입력!C91&amp;"께서는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1" s="66" t="str">
        <f>IF(입력!C91="","","안녕하세요, "&amp;입력!C91&amp;"."&amp;CHAR(10)&amp;"저희는 "&amp;입력!E91&amp;"에서 다양한 제품을 판매하며"&amp;CHAR(10)&amp;"월 "&amp;TEXT(입력!F91,"0")&amp;"만 원 이상의 매출을 꾸준히 기록하고 있는 업체입니다."&amp;CHAR(10)&amp;CHAR(10)&amp;"최근 고객 데이터를 분석해 본 결과,"&amp;CHAR(10)&amp;입력!D91&amp;"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"&amp;입력!C91&amp;"께서는"&amp;CHAR(10)&amp;"추가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2" spans="1:3" ht="295.8" x14ac:dyDescent="0.4">
      <c r="A92" s="65">
        <v>91</v>
      </c>
      <c r="B92" s="66" t="str">
        <f>IF(입력!C92="","","안녕하세요, "&amp;입력!C92&amp;"."&amp;CHAR(10)&amp;"저희는 "&amp;입력!E92&amp;"에서 다양한 제품을 판매하며"&amp;CHAR(10)&amp;"월 약 "&amp;TEXT(입력!F92,"0")&amp;"만 원 수준의 매출을 내고 있는 업체입니다."&amp;CHAR(10)&amp;CHAR(10)&amp;"이번에 "&amp;입력!D92&amp;" 쪽으로 판매 영역을 확장하려 하는데,"&amp;CHAR(10)&amp;"혹시 위탁 판매 형태로 협업이 가능하실까요?"&amp;CHAR(10)&amp;입력!C92&amp;"께서는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2" s="66" t="str">
        <f>IF(입력!C92="","","안녕하세요, "&amp;입력!C92&amp;"."&amp;CHAR(10)&amp;"저희는 "&amp;입력!E92&amp;"에서 다양한 제품을 판매하며"&amp;CHAR(10)&amp;"월 "&amp;TEXT(입력!F92,"0")&amp;"만 원 이상의 매출을 꾸준히 기록하고 있는 업체입니다."&amp;CHAR(10)&amp;CHAR(10)&amp;"최근 고객 데이터를 분석해 본 결과,"&amp;CHAR(10)&amp;입력!D92&amp;"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"&amp;입력!C92&amp;"께서는"&amp;CHAR(10)&amp;"추가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3" spans="1:3" ht="295.8" x14ac:dyDescent="0.4">
      <c r="A93" s="65">
        <v>92</v>
      </c>
      <c r="B93" s="66" t="str">
        <f>IF(입력!C93="","","안녕하세요, "&amp;입력!C93&amp;"."&amp;CHAR(10)&amp;"저희는 "&amp;입력!E93&amp;"에서 다양한 제품을 판매하며"&amp;CHAR(10)&amp;"월 약 "&amp;TEXT(입력!F93,"0")&amp;"만 원 수준의 매출을 내고 있는 업체입니다."&amp;CHAR(10)&amp;CHAR(10)&amp;"이번에 "&amp;입력!D93&amp;" 쪽으로 판매 영역을 확장하려 하는데,"&amp;CHAR(10)&amp;"혹시 위탁 판매 형태로 협업이 가능하실까요?"&amp;CHAR(10)&amp;입력!C93&amp;"께서는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3" s="66" t="str">
        <f>IF(입력!C93="","","안녕하세요, "&amp;입력!C93&amp;"."&amp;CHAR(10)&amp;"저희는 "&amp;입력!E93&amp;"에서 다양한 제품을 판매하며"&amp;CHAR(10)&amp;"월 "&amp;TEXT(입력!F93,"0")&amp;"만 원 이상의 매출을 꾸준히 기록하고 있는 업체입니다."&amp;CHAR(10)&amp;CHAR(10)&amp;"최근 고객 데이터를 분석해 본 결과,"&amp;CHAR(10)&amp;입력!D93&amp;"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"&amp;입력!C93&amp;"께서는"&amp;CHAR(10)&amp;"추가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4" spans="1:3" ht="295.8" x14ac:dyDescent="0.4">
      <c r="A94" s="65">
        <v>93</v>
      </c>
      <c r="B94" s="66" t="str">
        <f>IF(입력!C94="","","안녕하세요, "&amp;입력!C94&amp;"."&amp;CHAR(10)&amp;"저희는 "&amp;입력!E94&amp;"에서 다양한 제품을 판매하며"&amp;CHAR(10)&amp;"월 약 "&amp;TEXT(입력!F94,"0")&amp;"만 원 수준의 매출을 내고 있는 업체입니다."&amp;CHAR(10)&amp;CHAR(10)&amp;"이번에 "&amp;입력!D94&amp;" 쪽으로 판매 영역을 확장하려 하는데,"&amp;CHAR(10)&amp;"혹시 위탁 판매 형태로 협업이 가능하실까요?"&amp;CHAR(10)&amp;입력!C94&amp;"께서는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4" s="66" t="str">
        <f>IF(입력!C94="","","안녕하세요, "&amp;입력!C94&amp;"."&amp;CHAR(10)&amp;"저희는 "&amp;입력!E94&amp;"에서 다양한 제품을 판매하며"&amp;CHAR(10)&amp;"월 "&amp;TEXT(입력!F94,"0")&amp;"만 원 이상의 매출을 꾸준히 기록하고 있는 업체입니다."&amp;CHAR(10)&amp;CHAR(10)&amp;"최근 고객 데이터를 분석해 본 결과,"&amp;CHAR(10)&amp;입력!D94&amp;"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"&amp;입력!C94&amp;"께서는"&amp;CHAR(10)&amp;"추가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5" spans="1:3" ht="295.8" x14ac:dyDescent="0.4">
      <c r="A95" s="65">
        <v>94</v>
      </c>
      <c r="B95" s="66" t="str">
        <f>IF(입력!C95="","","안녕하세요, "&amp;입력!C95&amp;"."&amp;CHAR(10)&amp;"저희는 "&amp;입력!E95&amp;"에서 다양한 제품을 판매하며"&amp;CHAR(10)&amp;"월 약 "&amp;TEXT(입력!F95,"0")&amp;"만 원 수준의 매출을 내고 있는 업체입니다."&amp;CHAR(10)&amp;CHAR(10)&amp;"이번에 "&amp;입력!D95&amp;" 쪽으로 판매 영역을 확장하려 하는데,"&amp;CHAR(10)&amp;"혹시 위탁 판매 형태로 협업이 가능하실까요?"&amp;CHAR(10)&amp;입력!C95&amp;"께서는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5" s="66" t="str">
        <f>IF(입력!C95="","","안녕하세요, "&amp;입력!C95&amp;"."&amp;CHAR(10)&amp;"저희는 "&amp;입력!E95&amp;"에서 다양한 제품을 판매하며"&amp;CHAR(10)&amp;"월 "&amp;TEXT(입력!F95,"0")&amp;"만 원 이상의 매출을 꾸준히 기록하고 있는 업체입니다."&amp;CHAR(10)&amp;CHAR(10)&amp;"최근 고객 데이터를 분석해 본 결과,"&amp;CHAR(10)&amp;입력!D95&amp;"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"&amp;입력!C95&amp;"께서는"&amp;CHAR(10)&amp;"추가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6" spans="1:3" ht="295.8" x14ac:dyDescent="0.4">
      <c r="A96" s="65">
        <v>95</v>
      </c>
      <c r="B96" s="66" t="str">
        <f>IF(입력!C96="","","안녕하세요, "&amp;입력!C96&amp;"."&amp;CHAR(10)&amp;"저희는 "&amp;입력!E96&amp;"에서 다양한 제품을 판매하며"&amp;CHAR(10)&amp;"월 약 "&amp;TEXT(입력!F96,"0")&amp;"만 원 수준의 매출을 내고 있는 업체입니다."&amp;CHAR(10)&amp;CHAR(10)&amp;"이번에 "&amp;입력!D96&amp;" 쪽으로 판매 영역을 확장하려 하는데,"&amp;CHAR(10)&amp;"혹시 위탁 판매 형태로 협업이 가능하실까요?"&amp;CHAR(10)&amp;입력!C96&amp;"께서는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6" s="66" t="str">
        <f>IF(입력!C96="","","안녕하세요, "&amp;입력!C96&amp;"."&amp;CHAR(10)&amp;"저희는 "&amp;입력!E96&amp;"에서 다양한 제품을 판매하며"&amp;CHAR(10)&amp;"월 "&amp;TEXT(입력!F96,"0")&amp;"만 원 이상의 매출을 꾸준히 기록하고 있는 업체입니다."&amp;CHAR(10)&amp;CHAR(10)&amp;"최근 고객 데이터를 분석해 본 결과,"&amp;CHAR(10)&amp;입력!D96&amp;"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"&amp;입력!C96&amp;"께서는"&amp;CHAR(10)&amp;"추가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7" spans="1:3" ht="295.8" x14ac:dyDescent="0.4">
      <c r="A97" s="65">
        <v>96</v>
      </c>
      <c r="B97" s="66" t="str">
        <f>IF(입력!C97="","","안녕하세요, "&amp;입력!C97&amp;"."&amp;CHAR(10)&amp;"저희는 "&amp;입력!E97&amp;"에서 다양한 제품을 판매하며"&amp;CHAR(10)&amp;"월 약 "&amp;TEXT(입력!F97,"0")&amp;"만 원 수준의 매출을 내고 있는 업체입니다."&amp;CHAR(10)&amp;CHAR(10)&amp;"이번에 "&amp;입력!D97&amp;" 쪽으로 판매 영역을 확장하려 하는데,"&amp;CHAR(10)&amp;"혹시 위탁 판매 형태로 협업이 가능하실까요?"&amp;CHAR(10)&amp;입력!C97&amp;"께서는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7" s="66" t="str">
        <f>IF(입력!C97="","","안녕하세요, "&amp;입력!C97&amp;"."&amp;CHAR(10)&amp;"저희는 "&amp;입력!E97&amp;"에서 다양한 제품을 판매하며"&amp;CHAR(10)&amp;"월 "&amp;TEXT(입력!F97,"0")&amp;"만 원 이상의 매출을 꾸준히 기록하고 있는 업체입니다."&amp;CHAR(10)&amp;CHAR(10)&amp;"최근 고객 데이터를 분석해 본 결과,"&amp;CHAR(10)&amp;입력!D97&amp;"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"&amp;입력!C97&amp;"께서는"&amp;CHAR(10)&amp;"추가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8" spans="1:3" ht="295.8" x14ac:dyDescent="0.4">
      <c r="A98" s="65">
        <v>97</v>
      </c>
      <c r="B98" s="66" t="str">
        <f>IF(입력!C98="","","안녕하세요, "&amp;입력!C98&amp;"."&amp;CHAR(10)&amp;"저희는 "&amp;입력!E98&amp;"에서 다양한 제품을 판매하며"&amp;CHAR(10)&amp;"월 약 "&amp;TEXT(입력!F98,"0")&amp;"만 원 수준의 매출을 내고 있는 업체입니다."&amp;CHAR(10)&amp;CHAR(10)&amp;"이번에 "&amp;입력!D98&amp;" 쪽으로 판매 영역을 확장하려 하는데,"&amp;CHAR(10)&amp;"혹시 위탁 판매 형태로 협업이 가능하실까요?"&amp;CHAR(10)&amp;입력!C98&amp;"께서는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8" s="66" t="str">
        <f>IF(입력!C98="","","안녕하세요, "&amp;입력!C98&amp;"."&amp;CHAR(10)&amp;"저희는 "&amp;입력!E98&amp;"에서 다양한 제품을 판매하며"&amp;CHAR(10)&amp;"월 "&amp;TEXT(입력!F98,"0")&amp;"만 원 이상의 매출을 꾸준히 기록하고 있는 업체입니다."&amp;CHAR(10)&amp;CHAR(10)&amp;"최근 고객 데이터를 분석해 본 결과,"&amp;CHAR(10)&amp;입력!D98&amp;"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"&amp;입력!C98&amp;"께서는"&amp;CHAR(10)&amp;"추가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99" spans="1:3" ht="295.8" x14ac:dyDescent="0.4">
      <c r="A99" s="65">
        <v>98</v>
      </c>
      <c r="B99" s="66" t="str">
        <f>IF(입력!C99="","","안녕하세요, "&amp;입력!C99&amp;"."&amp;CHAR(10)&amp;"저희는 "&amp;입력!E99&amp;"에서 다양한 제품을 판매하며"&amp;CHAR(10)&amp;"월 약 "&amp;TEXT(입력!F99,"0")&amp;"만 원 수준의 매출을 내고 있는 업체입니다."&amp;CHAR(10)&amp;CHAR(10)&amp;"이번에 "&amp;입력!D99&amp;" 쪽으로 판매 영역을 확장하려 하는데,"&amp;CHAR(10)&amp;"혹시 위탁 판매 형태로 협업이 가능하실까요?"&amp;CHAR(10)&amp;입력!C99&amp;"께서는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99" s="66" t="str">
        <f>IF(입력!C99="","","안녕하세요, "&amp;입력!C99&amp;"."&amp;CHAR(10)&amp;"저희는 "&amp;입력!E99&amp;"에서 다양한 제품을 판매하며"&amp;CHAR(10)&amp;"월 "&amp;TEXT(입력!F99,"0")&amp;"만 원 이상의 매출을 꾸준히 기록하고 있는 업체입니다."&amp;CHAR(10)&amp;CHAR(10)&amp;"최근 고객 데이터를 분석해 본 결과,"&amp;CHAR(10)&amp;입력!D99&amp;"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"&amp;입력!C99&amp;"께서는"&amp;CHAR(10)&amp;"추가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00" spans="1:3" ht="295.8" x14ac:dyDescent="0.4">
      <c r="A100" s="65">
        <v>99</v>
      </c>
      <c r="B100" s="66" t="str">
        <f>IF(입력!C100="","","안녕하세요, "&amp;입력!C100&amp;"."&amp;CHAR(10)&amp;"저희는 "&amp;입력!E100&amp;"에서 다양한 제품을 판매하며"&amp;CHAR(10)&amp;"월 약 "&amp;TEXT(입력!F100,"0")&amp;"만 원 수준의 매출을 내고 있는 업체입니다."&amp;CHAR(10)&amp;CHAR(10)&amp;"이번에 "&amp;입력!D100&amp;" 쪽으로 판매 영역을 확장하려 하는데,"&amp;CHAR(10)&amp;"혹시 위탁 판매 형태로 협업이 가능하실까요?"&amp;CHAR(10)&amp;입력!C100&amp;"께서는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00" s="66" t="str">
        <f>IF(입력!C100="","","안녕하세요, "&amp;입력!C100&amp;"."&amp;CHAR(10)&amp;"저희는 "&amp;입력!E100&amp;"에서 다양한 제품을 판매하며"&amp;CHAR(10)&amp;"월 "&amp;TEXT(입력!F100,"0")&amp;"만 원 이상의 매출을 꾸준히 기록하고 있는 업체입니다."&amp;CHAR(10)&amp;CHAR(10)&amp;"최근 고객 데이터를 분석해 본 결과,"&amp;CHAR(10)&amp;입력!D100&amp;"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"&amp;입력!C100&amp;"께서는"&amp;CHAR(10)&amp;"추가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  <row r="101" spans="1:3" ht="295.8" x14ac:dyDescent="0.4">
      <c r="A101" s="65">
        <v>100</v>
      </c>
      <c r="B101" s="66" t="str">
        <f>IF(입력!C101="","","안녕하세요, "&amp;입력!C101&amp;"."&amp;CHAR(10)&amp;"저희는 "&amp;입력!E101&amp;"에서 다양한 제품을 판매하며"&amp;CHAR(10)&amp;"월 약 "&amp;TEXT(입력!F101,"0")&amp;"만 원 수준의 매출을 내고 있는 업체입니다."&amp;CHAR(10)&amp;CHAR(10)&amp;"이번에 "&amp;입력!D101&amp;" 쪽으로 판매 영역을 확장하려 하는데,"&amp;CHAR(10)&amp;"혹시 위탁 판매 형태로 협업이 가능하실까요?"&amp;CHAR(10)&amp;입력!C101&amp;"께서는 별도 부담 없이 매출 확대 효과를 보실 수 있도록"&amp;CHAR(10)&amp;"저희가 마케팅과 고객 응대를 맡겠습니다."&amp;CHAR(10)&amp;CHAR(10)&amp;"편하게 회신 주시면 감사하겠습니다.")</f>
        <v>안녕하세요, 사장님.
저희는 서울·수도권 폐쇄몰에서 다양한 제품을 판매하며
월 약 0만 원 수준의 매출을 내고 있는 업체입니다.
이번에 ○○(제품 카테고리) 쪽으로 판매 영역을 확장하려 하는데,
혹시 위탁 판매 형태로 협업이 가능하실까요?
사장님께서는 별도 부담 없이 매출 확대 효과를 보실 수 있도록
저희가 마케팅과 고객 응대를 맡겠습니다.
편하게 회신 주시면 감사하겠습니다.</v>
      </c>
      <c r="C101" s="66" t="str">
        <f>IF(입력!C101="","","안녕하세요, "&amp;입력!C101&amp;"."&amp;CHAR(10)&amp;"저희는 "&amp;입력!E101&amp;"에서 다양한 제품을 판매하며"&amp;CHAR(10)&amp;"월 "&amp;TEXT(입력!F101,"0")&amp;"만 원 이상의 매출을 꾸준히 기록하고 있는 업체입니다."&amp;CHAR(10)&amp;CHAR(10)&amp;"최근 고객 데이터를 분석해 본 결과,"&amp;CHAR(10)&amp;입력!D101&amp;" 관련 수요가 증가하고 있어"&amp;CHAR(10)&amp;"이번에 해당 카테고리 상품을 새롭게 확장하고자 합니다."&amp;CHAR(10)&amp;CHAR(10)&amp;"저희는 위탁 형태로 제품을 공급받아"&amp;CHAR(10)&amp;"상품 상세 제작, 온라인 채널 노출, 마케팅 및 고객 응대까지"&amp;CHAR(10)&amp;"모두 진행하기 때문에, "&amp;입력!C101&amp;"께서는"&amp;CHAR(10)&amp;"추가 비용이나 리스크 부담 없이 안정적인 매출 확대를 기대하실 수 있습니다."&amp;CHAR(10)&amp;CHAR(10)&amp;"혹시 위탁 판매 협의가 가능하시다면,"&amp;CHAR(10)&amp;"조건이나 방식에 대해 편하게 말씀 부탁드리겠습니다."&amp;CHAR(10)&amp;CHAR(10)&amp;"감사합니다.")</f>
        <v>안녕하세요, 사장님.
저희는 서울·수도권 폐쇄몰에서 다양한 제품을 판매하며
월 0만 원 이상의 매출을 꾸준히 기록하고 있는 업체입니다.
최근 고객 데이터를 분석해 본 결과,
○○(제품 카테고리) 관련 수요가 증가하고 있어
이번에 해당 카테고리 상품을 새롭게 확장하고자 합니다.
저희는 위탁 형태로 제품을 공급받아
상품 상세 제작, 온라인 채널 노출, 마케팅 및 고객 응대까지
모두 진행하기 때문에, 사장님께서는
추가 비용이나 리스크 부담 없이 안정적인 매출 확대를 기대하실 수 있습니다.
혹시 위탁 판매 협의가 가능하시다면,
조건이나 방식에 대해 편하게 말씀 부탁드리겠습니다.
감사합니다.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마진계산기</vt:lpstr>
      <vt:lpstr>업체내역</vt:lpstr>
      <vt:lpstr>소싱리스트</vt:lpstr>
      <vt:lpstr>소싱응대법</vt:lpstr>
      <vt:lpstr>입력</vt:lpstr>
      <vt:lpstr>메시지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동규 김</dc:creator>
  <cp:lastModifiedBy>Dongkyu Kim</cp:lastModifiedBy>
  <dcterms:created xsi:type="dcterms:W3CDTF">2025-09-10T12:11:46Z</dcterms:created>
  <dcterms:modified xsi:type="dcterms:W3CDTF">2026-06-07T07:20:14Z</dcterms:modified>
</cp:coreProperties>
</file>